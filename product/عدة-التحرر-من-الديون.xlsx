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بدأ هنا" sheetId="1" state="visible" r:id="rId3"/>
    <sheet name="الديون" sheetId="2" state="visible" r:id="rId4"/>
    <sheet name="خطة السداد" sheetId="3" state="visible" r:id="rId5"/>
    <sheet name="الميزانية الشهرية" sheetId="4" state="visible" r:id="rId6"/>
    <sheet name="لوحة المتابعة"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<sst xmlns="http://schemas.openxmlformats.org/spreadsheetml/2006/main" count="105" uniqueCount="95">
  <si>
    <t xml:space="preserve">عدة التحرر من الديون</t>
  </si>
  <si>
    <t xml:space="preserve">مرحباً بك!</t>
  </si>
  <si>
    <t xml:space="preserve">هذه العدة تحوّل ديونك من همّ غامض إلى خطة واضحة بتاريخ نهاية محدد. اتبع الخطوات الأربع بالترتيب.</t>
  </si>
  <si>
    <t xml:space="preserve">الخطوة 1 — ورقة «الديون»</t>
  </si>
  <si>
    <t xml:space="preserve">سجّل كل دين: المبلغ المتبقي، الفائدة السنوية، والقسط الأدنى. الخلايا الصفراء هي أماكن الكتابة.</t>
  </si>
  <si>
    <t xml:space="preserve">الخطوة 2 — ورقة «خطة السداد»</t>
  </si>
  <si>
    <t xml:space="preserve">حدّد الدفعة الشهرية الإضافية التي تستطيعها. سيُحسب تاريخ تحررك وإجمالي الفوائد تلقائياً.</t>
  </si>
  <si>
    <t xml:space="preserve">الخطوة 3 — ورقة «الميزانية الشهرية»</t>
  </si>
  <si>
    <t xml:space="preserve">خطط دخلك ومصروفاتك الشهرية حتى تعرف من أين تأتي الدفعة الإضافية.</t>
  </si>
  <si>
    <t xml:space="preserve">الخطوة 4 — ورقة «لوحة المتابعة»</t>
  </si>
  <si>
    <t xml:space="preserve">سجّل ما سددته فعلياً كل شهر وشاهد شريط الإنجاز يمتلئ.</t>
  </si>
  <si>
    <t xml:space="preserve">دليل الألوان</t>
  </si>
  <si>
    <t xml:space="preserve">خلية صفراء بخط أزرق</t>
  </si>
  <si>
    <t xml:space="preserve">مدخلات — عدّلها بحرّية</t>
  </si>
  <si>
    <t xml:space="preserve">خط أسود</t>
  </si>
  <si>
    <t xml:space="preserve">معادلة تلقائية — لا تعدّلها</t>
  </si>
  <si>
    <t xml:space="preserve">خط أخضر</t>
  </si>
  <si>
    <t xml:space="preserve">قيمة مرتبطة بورقة أخرى — لا تعدّلها</t>
  </si>
  <si>
    <t xml:space="preserve">ملاحظة منهجية</t>
  </si>
  <si>
    <t xml:space="preserve">جدول السداد يستخدم متوسط الفائدة المرجّح لديونك مجتمعة (نموذج تقريبي موثّق في ورقة الخطة). للحصول على جدول دقيق لكل دين على حدة بطريقة كرة الثلج أو الانهيار الجليدي، استخدم الحاسبة المجانية المرافقة للعدة.</t>
  </si>
  <si>
    <t xml:space="preserve">سجل الديون</t>
  </si>
  <si>
    <t xml:space="preserve">سجّل كل ديونك هنا — الخلايا الصفراء فقط. الأعمدة الأخرى تُحسب تلقائياً.</t>
  </si>
  <si>
    <t xml:space="preserve">اسم الدين</t>
  </si>
  <si>
    <t xml:space="preserve">المبلغ المتبقي</t>
  </si>
  <si>
    <t xml:space="preserve">الفائدة السنوية %</t>
  </si>
  <si>
    <t xml:space="preserve">القسط الأدنى</t>
  </si>
  <si>
    <t xml:space="preserve">الفائدة الشهرية</t>
  </si>
  <si>
    <t xml:space="preserve">ترتيب كرة الثلج</t>
  </si>
  <si>
    <t xml:space="preserve">ترتيب الانهيار الجليدي</t>
  </si>
  <si>
    <t xml:space="preserve">بطاقة ائتمانية (مثال)</t>
  </si>
  <si>
    <t xml:space="preserve">قرض شخصي (مثال)</t>
  </si>
  <si>
    <t xml:space="preserve">دين عائلي (مثال)</t>
  </si>
  <si>
    <t xml:space="preserve">الإجمالي</t>
  </si>
  <si>
    <t xml:space="preserve">كرة الثلج: ابدأ بالترتيب 1 في عمود «كرة الثلج» (الأصغر مبلغاً) لانتصارات سريعة · الانهيار الجليدي: ابدأ بالترتيب 1 في عموده (الفائدة الأعلى) لأكبر توفير. الأمثلة الثلاثة أعلاه استرشادية — استبدلها بديونك.</t>
  </si>
  <si>
    <t xml:space="preserve">خطة السداد</t>
  </si>
  <si>
    <t xml:space="preserve">إجمالي الديون</t>
  </si>
  <si>
    <t xml:space="preserve">مجموع الأقساط الدنيا</t>
  </si>
  <si>
    <t xml:space="preserve">الدفعة الشهرية الإضافية ⬅ عدّلها</t>
  </si>
  <si>
    <t xml:space="preserve">النموذج تقريبي: يعامل الديون ككتلة واحدة بمتوسط فائدة مرجّح ثابت. الجدول الأيسر يقارن بسيناريو «الحد الأدنى فقط» (بدون الدفعة الإضافية).</t>
  </si>
  <si>
    <t xml:space="preserve">الدفعة الشهرية الكلية</t>
  </si>
  <si>
    <t xml:space="preserve">متوسط الفائدة السنوية المرجّح</t>
  </si>
  <si>
    <t xml:space="preserve">أشهر حتى التحرر</t>
  </si>
  <si>
    <t xml:space="preserve">تاريخ التحرر المتوقع</t>
  </si>
  <si>
    <t xml:space="preserve">إجمالي الفوائد المتوقعة</t>
  </si>
  <si>
    <t xml:space="preserve">سيناريو الحد الأدنى فقط (للمقارنة)</t>
  </si>
  <si>
    <t xml:space="preserve">الشهر</t>
  </si>
  <si>
    <t xml:space="preserve">الرصيد أول الشهر</t>
  </si>
  <si>
    <t xml:space="preserve">الفائدة</t>
  </si>
  <si>
    <t xml:space="preserve">الدفعة</t>
  </si>
  <si>
    <t xml:space="preserve">الرصيد آخر الشهر</t>
  </si>
  <si>
    <t xml:space="preserve">الميزانية الشهرية</t>
  </si>
  <si>
    <t xml:space="preserve">البند</t>
  </si>
  <si>
    <t xml:space="preserve">المخطط</t>
  </si>
  <si>
    <t xml:space="preserve">الفعلي</t>
  </si>
  <si>
    <t xml:space="preserve">الفرق</t>
  </si>
  <si>
    <t xml:space="preserve">الدخل</t>
  </si>
  <si>
    <t xml:space="preserve">الراتب الأساسي (مثال)</t>
  </si>
  <si>
    <t xml:space="preserve">دخل إضافي</t>
  </si>
  <si>
    <t xml:space="preserve">إجمالي الدخل</t>
  </si>
  <si>
    <t xml:space="preserve">الأساسيات</t>
  </si>
  <si>
    <t xml:space="preserve">السكن / الإيجار</t>
  </si>
  <si>
    <t xml:space="preserve">الفواتير والخدمات</t>
  </si>
  <si>
    <t xml:space="preserve">الغذاء</t>
  </si>
  <si>
    <t xml:space="preserve">المواصلات والوقود</t>
  </si>
  <si>
    <t xml:space="preserve">الاتصالات</t>
  </si>
  <si>
    <t xml:space="preserve">أخرى أساسية</t>
  </si>
  <si>
    <t xml:space="preserve">إجمالي الأساسيات</t>
  </si>
  <si>
    <t xml:space="preserve">الكماليات</t>
  </si>
  <si>
    <t xml:space="preserve">مطاعم وقهوة</t>
  </si>
  <si>
    <t xml:space="preserve">ترفيه</t>
  </si>
  <si>
    <t xml:space="preserve">تسوق</t>
  </si>
  <si>
    <t xml:space="preserve">اشتراكات</t>
  </si>
  <si>
    <t xml:space="preserve">إجمالي الكماليات</t>
  </si>
  <si>
    <t xml:space="preserve">الالتزامات المالية</t>
  </si>
  <si>
    <t xml:space="preserve">الأقساط الدنيا للديون</t>
  </si>
  <si>
    <t xml:space="preserve">الدفعة الإضافية (هجوم على الدين)</t>
  </si>
  <si>
    <t xml:space="preserve">ادخار للطوارئ</t>
  </si>
  <si>
    <t xml:space="preserve">إجمالي الالتزامات</t>
  </si>
  <si>
    <t xml:space="preserve">المتبقي بعد كل المصروفات</t>
  </si>
  <si>
    <t xml:space="preserve">نسبة الأساسيات من الدخل</t>
  </si>
  <si>
    <t xml:space="preserve">الهدف الإرشادي ≈ 50%</t>
  </si>
  <si>
    <t xml:space="preserve">نسبة الكماليات من الدخل</t>
  </si>
  <si>
    <t xml:space="preserve">أثناء سداد الديون حاول ألا تتجاوز 15–20%</t>
  </si>
  <si>
    <t xml:space="preserve">نسبة الالتزامات المالية من الدخل</t>
  </si>
  <si>
    <t xml:space="preserve">كل ريال إضافي هنا يقرّب تاريخ حريتك</t>
  </si>
  <si>
    <t xml:space="preserve">الأرقام المخططة أعلاه أمثلة استرشادية لدخل 18,000 ر.س — عدّلها لتناسب وضعك.</t>
  </si>
  <si>
    <t xml:space="preserve">لوحة المتابعة</t>
  </si>
  <si>
    <t xml:space="preserve">الفوائد الموفَّرة مقارنة بالحد الأدنى</t>
  </si>
  <si>
    <t xml:space="preserve">سجل السداد الفعلي — عبّئ عموديّ الشهر والمبلغ كل شهر</t>
  </si>
  <si>
    <t xml:space="preserve">الشهر (مثال: 2026/08)</t>
  </si>
  <si>
    <t xml:space="preserve">المبلغ المسدَّد</t>
  </si>
  <si>
    <t xml:space="preserve">التراكمي</t>
  </si>
  <si>
    <t xml:space="preserve">المتبقي من الدين</t>
  </si>
  <si>
    <t xml:space="preserve">نسبة الإنجاز</t>
  </si>
  <si>
    <t xml:space="preserve">ملاحظة: «المتبقي من الدين» يفترض أن إجمالي ورقة الديون ثابت كما أدخلته أول مرة — حدّث ورقة الديون كل عدة أشهر لدقة أعلى.</t>
  </si>
</sst>
</file>

<file path=xl/styles.xml><?xml version="1.0" encoding="utf-8"?>
<styleSheet xmlns="http://schemas.openxmlformats.org/spreadsheetml/2006/main">
  <numFmts count="6">
    <numFmt numFmtId="164" formatCode="General"/>
    <numFmt numFmtId="165" formatCode="#,##0&quot; ر.س&quot;"/>
    <numFmt numFmtId="166" formatCode="0.0%"/>
    <numFmt numFmtId="167" formatCode="General"/>
    <numFmt numFmtId="168" formatCode="0.000%"/>
    <numFmt numFmtId="169" formatCode="yyyy/mm"/>
  </numFmts>
  <fonts count="1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1"/>
      <name val="Arial"/>
      <family val="0"/>
      <charset val="1"/>
    </font>
    <font>
      <sz val="11"/>
      <name val="Arial"/>
      <family val="0"/>
      <charset val="1"/>
    </font>
    <font>
      <sz val="11"/>
      <color rgb="FF0000FF"/>
      <name val="Arial"/>
      <family val="0"/>
      <charset val="1"/>
    </font>
    <font>
      <sz val="11"/>
      <color rgb="FF008000"/>
      <name val="Arial"/>
      <family val="0"/>
      <charset val="1"/>
    </font>
    <font>
      <i val="true"/>
      <sz val="9"/>
      <color rgb="FF6B7280"/>
      <name val="Arial"/>
      <family val="0"/>
      <charset val="1"/>
    </font>
    <font>
      <b val="true"/>
      <sz val="11"/>
      <color rgb="FFFFFFFF"/>
      <name val="Arial"/>
      <family val="0"/>
      <charset val="1"/>
    </font>
    <font>
      <b val="true"/>
      <sz val="11"/>
      <color rgb="FF008000"/>
      <name val="Arial"/>
      <family val="0"/>
      <charset val="1"/>
    </font>
    <font>
      <b val="true"/>
      <sz val="11"/>
      <color rgb="FFB91C1C"/>
      <name val="Arial"/>
      <family val="0"/>
      <charset val="1"/>
    </font>
    <font>
      <b val="true"/>
      <sz val="12"/>
      <color rgb="FF115E59"/>
      <name val="Arial"/>
      <family val="0"/>
      <charset val="1"/>
    </font>
  </fonts>
  <fills count="7">
    <fill>
      <patternFill patternType="none"/>
    </fill>
    <fill>
      <patternFill patternType="gray125"/>
    </fill>
    <fill>
      <patternFill patternType="solid">
        <fgColor rgb="FF0F766E"/>
        <bgColor rgb="FF115E59"/>
      </patternFill>
    </fill>
    <fill>
      <patternFill patternType="solid">
        <fgColor rgb="FFFFF9C4"/>
        <bgColor rgb="FFFFFF99"/>
      </patternFill>
    </fill>
    <fill>
      <patternFill patternType="solid">
        <fgColor rgb="FF115E59"/>
        <bgColor rgb="FF0F766E"/>
      </patternFill>
    </fill>
    <fill>
      <patternFill patternType="solid">
        <fgColor rgb="FFECFDF5"/>
        <bgColor rgb="FFF3F4F6"/>
      </patternFill>
    </fill>
    <fill>
      <patternFill patternType="solid">
        <fgColor rgb="FFF3F4F6"/>
        <bgColor rgb="FFECFDF5"/>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right" vertical="center" textRotation="0" wrapText="true" indent="0" shrinkToFit="false"/>
      <protection locked="true" hidden="false"/>
    </xf>
    <xf numFmtId="164" fontId="6" fillId="0" borderId="0" xfId="0" applyFont="true" applyBorder="false" applyAlignment="true" applyProtection="false">
      <alignment horizontal="right" vertical="center" textRotation="0" wrapText="true" indent="0" shrinkToFit="false"/>
      <protection locked="true" hidden="false"/>
    </xf>
    <xf numFmtId="164" fontId="7" fillId="3" borderId="0" xfId="0" applyFont="true" applyBorder="false" applyAlignment="true" applyProtection="false">
      <alignment horizontal="right" vertical="center" textRotation="0" wrapText="true" indent="0" shrinkToFit="false"/>
      <protection locked="true" hidden="false"/>
    </xf>
    <xf numFmtId="164" fontId="8" fillId="0" borderId="0" xfId="0" applyFont="true" applyBorder="false" applyAlignment="true" applyProtection="false">
      <alignment horizontal="right" vertical="center" textRotation="0" wrapText="true" indent="0" shrinkToFit="false"/>
      <protection locked="true" hidden="false"/>
    </xf>
    <xf numFmtId="164" fontId="9" fillId="0" borderId="0" xfId="0" applyFont="true" applyBorder="false" applyAlignment="true" applyProtection="false">
      <alignment horizontal="right"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right" vertical="center" textRotation="0" wrapText="true" indent="0" shrinkToFit="false"/>
      <protection locked="true" hidden="false"/>
    </xf>
    <xf numFmtId="165" fontId="7" fillId="3" borderId="1" xfId="0" applyFont="true" applyBorder="true" applyAlignment="true" applyProtection="false">
      <alignment horizontal="right" vertical="center" textRotation="0" wrapText="true" indent="0" shrinkToFit="false"/>
      <protection locked="true" hidden="false"/>
    </xf>
    <xf numFmtId="166" fontId="7" fillId="3" borderId="1" xfId="0" applyFont="true" applyBorder="true" applyAlignment="true" applyProtection="false">
      <alignment horizontal="right" vertical="center" textRotation="0" wrapText="true" indent="0" shrinkToFit="false"/>
      <protection locked="true" hidden="false"/>
    </xf>
    <xf numFmtId="165" fontId="6" fillId="0" borderId="1" xfId="0" applyFont="true" applyBorder="true" applyAlignment="true" applyProtection="false">
      <alignment horizontal="right" vertical="center" textRotation="0" wrapText="true" indent="0" shrinkToFit="false"/>
      <protection locked="true" hidden="false"/>
    </xf>
    <xf numFmtId="167" fontId="6" fillId="0"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right" vertical="center" textRotation="0" wrapText="true" indent="0" shrinkToFit="false"/>
      <protection locked="true" hidden="false"/>
    </xf>
    <xf numFmtId="165" fontId="5" fillId="5" borderId="1" xfId="0" applyFont="true" applyBorder="true" applyAlignment="true" applyProtection="false">
      <alignment horizontal="right" vertical="center" textRotation="0" wrapText="true" indent="0" shrinkToFit="false"/>
      <protection locked="true" hidden="false"/>
    </xf>
    <xf numFmtId="164" fontId="5" fillId="0" borderId="1" xfId="0" applyFont="true" applyBorder="true" applyAlignment="true" applyProtection="false">
      <alignment horizontal="right" vertical="center" textRotation="0" wrapText="true" indent="0" shrinkToFit="false"/>
      <protection locked="true" hidden="false"/>
    </xf>
    <xf numFmtId="165" fontId="11" fillId="0" borderId="1" xfId="0" applyFont="true" applyBorder="true" applyAlignment="true" applyProtection="false">
      <alignment horizontal="right" vertical="center" textRotation="0" wrapText="true" indent="0" shrinkToFit="false"/>
      <protection locked="true" hidden="false"/>
    </xf>
    <xf numFmtId="164" fontId="12" fillId="0" borderId="0" xfId="0" applyFont="true" applyBorder="true" applyAlignment="true" applyProtection="false">
      <alignment horizontal="right" vertical="center" textRotation="0" wrapText="true" indent="0" shrinkToFit="false"/>
      <protection locked="true" hidden="false"/>
    </xf>
    <xf numFmtId="165" fontId="8" fillId="0" borderId="1" xfId="0" applyFont="true" applyBorder="true" applyAlignment="true" applyProtection="false">
      <alignment horizontal="right" vertical="center" textRotation="0" wrapText="true" indent="0" shrinkToFit="false"/>
      <protection locked="true" hidden="false"/>
    </xf>
    <xf numFmtId="164" fontId="9" fillId="0" borderId="0" xfId="0" applyFont="true" applyBorder="true" applyAlignment="true" applyProtection="false">
      <alignment horizontal="right" vertical="center" textRotation="0" wrapText="true" indent="0" shrinkToFit="false"/>
      <protection locked="true" hidden="false"/>
    </xf>
    <xf numFmtId="166" fontId="6" fillId="0" borderId="1" xfId="0" applyFont="true" applyBorder="true" applyAlignment="true" applyProtection="false">
      <alignment horizontal="right" vertical="center" textRotation="0" wrapText="true" indent="0" shrinkToFit="false"/>
      <protection locked="true" hidden="false"/>
    </xf>
    <xf numFmtId="168" fontId="6" fillId="0" borderId="1" xfId="0" applyFont="true" applyBorder="true" applyAlignment="true" applyProtection="false">
      <alignment horizontal="right" vertical="center" textRotation="0" wrapText="true" indent="0" shrinkToFit="false"/>
      <protection locked="true" hidden="false"/>
    </xf>
    <xf numFmtId="167" fontId="5" fillId="5" borderId="1" xfId="0" applyFont="true" applyBorder="true" applyAlignment="true" applyProtection="false">
      <alignment horizontal="center" vertical="center" textRotation="0" wrapText="true" indent="0" shrinkToFit="false"/>
      <protection locked="true" hidden="false"/>
    </xf>
    <xf numFmtId="169" fontId="5" fillId="5"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5" fontId="6" fillId="6" borderId="1" xfId="0" applyFont="true" applyBorder="true" applyAlignment="true" applyProtection="false">
      <alignment horizontal="right" vertical="center" textRotation="0" wrapText="true" indent="0" shrinkToFit="false"/>
      <protection locked="true" hidden="false"/>
    </xf>
    <xf numFmtId="164" fontId="13" fillId="5" borderId="1" xfId="0" applyFont="true" applyBorder="true" applyAlignment="true" applyProtection="false">
      <alignment horizontal="right" vertical="center" textRotation="0" wrapText="true" indent="0" shrinkToFit="false"/>
      <protection locked="true" hidden="false"/>
    </xf>
    <xf numFmtId="164" fontId="6" fillId="0" borderId="1" xfId="0" applyFont="true" applyBorder="true" applyAlignment="true" applyProtection="false">
      <alignment horizontal="right" vertical="center" textRotation="0" wrapText="true" indent="0" shrinkToFit="false"/>
      <protection locked="true" hidden="false"/>
    </xf>
    <xf numFmtId="164" fontId="10" fillId="4" borderId="1" xfId="0" applyFont="true" applyBorder="true" applyAlignment="true" applyProtection="false">
      <alignment horizontal="right" vertical="center" textRotation="0" wrapText="true" indent="0" shrinkToFit="false"/>
      <protection locked="true" hidden="false"/>
    </xf>
    <xf numFmtId="165" fontId="10" fillId="4" borderId="1" xfId="0" applyFont="true" applyBorder="true" applyAlignment="true" applyProtection="false">
      <alignment horizontal="right" vertical="center" textRotation="0" wrapText="true" indent="0" shrinkToFit="false"/>
      <protection locked="true" hidden="false"/>
    </xf>
    <xf numFmtId="166" fontId="6" fillId="0" borderId="0" xfId="0" applyFont="true" applyBorder="false" applyAlignment="true" applyProtection="false">
      <alignment horizontal="right" vertical="center" textRotation="0" wrapText="true" indent="0" shrinkToFit="false"/>
      <protection locked="true" hidden="false"/>
    </xf>
    <xf numFmtId="165" fontId="11" fillId="5" borderId="1" xfId="0" applyFont="true" applyBorder="true" applyAlignment="true" applyProtection="false">
      <alignment horizontal="center" vertical="center" textRotation="0" wrapText="true" indent="0" shrinkToFit="false"/>
      <protection locked="true" hidden="false"/>
    </xf>
    <xf numFmtId="167" fontId="11" fillId="5" borderId="1" xfId="0" applyFont="true" applyBorder="true" applyAlignment="true" applyProtection="false">
      <alignment horizontal="center" vertical="center" textRotation="0" wrapText="true" indent="0" shrinkToFit="false"/>
      <protection locked="true" hidden="false"/>
    </xf>
    <xf numFmtId="169" fontId="11" fillId="5"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righ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center" vertical="center" textRotation="0" wrapText="true" indent="0" shrinkToFit="false"/>
      <protection locked="true" hidden="false"/>
    </xf>
    <xf numFmtId="166" fontId="5" fillId="6"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993366"/>
      <rgbColor rgb="FFFFF9C4"/>
      <rgbColor rgb="FFECFDF5"/>
      <rgbColor rgb="FF660066"/>
      <rgbColor rgb="FFFF8080"/>
      <rgbColor rgb="FF0066CC"/>
      <rgbColor rgb="FFD1D5DB"/>
      <rgbColor rgb="FF000080"/>
      <rgbColor rgb="FFFF00FF"/>
      <rgbColor rgb="FFFFFF00"/>
      <rgbColor rgb="FF00FFFF"/>
      <rgbColor rgb="FF800080"/>
      <rgbColor rgb="FF800000"/>
      <rgbColor rgb="FF115E59"/>
      <rgbColor rgb="FF0000FF"/>
      <rgbColor rgb="FF00CCFF"/>
      <rgbColor rgb="FFF3F4F6"/>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003300"/>
      <rgbColor rgb="FF333300"/>
      <rgbColor rgb="FFB91C1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E15"/>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62"/>
    <col collapsed="false" customWidth="true" hidden="false" outlineLevel="0" max="4" min="4" style="0" width="22"/>
    <col collapsed="false" customWidth="true" hidden="false" outlineLevel="0" max="5" min="5" style="0" width="8"/>
  </cols>
  <sheetData>
    <row r="1" customFormat="false" ht="33.75" hidden="false" customHeight="true" outlineLevel="0" collapsed="false">
      <c r="A1" s="1" t="s">
        <v>0</v>
      </c>
      <c r="B1" s="1"/>
      <c r="C1" s="1"/>
      <c r="D1" s="1"/>
      <c r="E1" s="1"/>
    </row>
    <row r="3" customFormat="false" ht="15" hidden="false" customHeight="false" outlineLevel="0" collapsed="false">
      <c r="B3" s="2" t="s">
        <v>1</v>
      </c>
      <c r="C3" s="3" t="s">
        <v>2</v>
      </c>
    </row>
    <row r="5" customFormat="false" ht="15" hidden="false" customHeight="false" outlineLevel="0" collapsed="false">
      <c r="B5" s="2" t="s">
        <v>3</v>
      </c>
      <c r="C5" s="3" t="s">
        <v>4</v>
      </c>
    </row>
    <row r="6" customFormat="false" ht="15" hidden="false" customHeight="false" outlineLevel="0" collapsed="false">
      <c r="B6" s="2" t="s">
        <v>5</v>
      </c>
      <c r="C6" s="3" t="s">
        <v>6</v>
      </c>
    </row>
    <row r="7" customFormat="false" ht="15" hidden="false" customHeight="false" outlineLevel="0" collapsed="false">
      <c r="B7" s="2" t="s">
        <v>7</v>
      </c>
      <c r="C7" s="3" t="s">
        <v>8</v>
      </c>
    </row>
    <row r="8" customFormat="false" ht="15" hidden="false" customHeight="false" outlineLevel="0" collapsed="false">
      <c r="B8" s="2" t="s">
        <v>9</v>
      </c>
      <c r="C8" s="3" t="s">
        <v>10</v>
      </c>
    </row>
    <row r="10" customFormat="false" ht="15" hidden="false" customHeight="false" outlineLevel="0" collapsed="false">
      <c r="B10" s="2" t="s">
        <v>11</v>
      </c>
      <c r="C10" s="3"/>
    </row>
    <row r="11" customFormat="false" ht="15" hidden="false" customHeight="false" outlineLevel="0" collapsed="false">
      <c r="B11" s="4" t="s">
        <v>12</v>
      </c>
      <c r="C11" s="3" t="s">
        <v>13</v>
      </c>
    </row>
    <row r="12" customFormat="false" ht="15" hidden="false" customHeight="false" outlineLevel="0" collapsed="false">
      <c r="B12" s="3" t="s">
        <v>14</v>
      </c>
      <c r="C12" s="3" t="s">
        <v>15</v>
      </c>
    </row>
    <row r="13" customFormat="false" ht="15" hidden="false" customHeight="false" outlineLevel="0" collapsed="false">
      <c r="B13" s="5" t="s">
        <v>16</v>
      </c>
      <c r="C13" s="3" t="s">
        <v>17</v>
      </c>
    </row>
    <row r="15" customFormat="false" ht="39.55" hidden="false" customHeight="false" outlineLevel="0" collapsed="false">
      <c r="B15" s="2" t="s">
        <v>18</v>
      </c>
      <c r="C15" s="3" t="s">
        <v>19</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15E59"/>
    <pageSetUpPr fitToPage="false"/>
  </sheetPr>
  <dimension ref="A1:G1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5" min="2" style="0" width="16"/>
    <col collapsed="false" customWidth="true" hidden="false" outlineLevel="0" max="6" min="6" style="0" width="15"/>
    <col collapsed="false" customWidth="true" hidden="false" outlineLevel="0" max="7" min="7" style="0" width="19"/>
  </cols>
  <sheetData>
    <row r="1" customFormat="false" ht="33.75" hidden="false" customHeight="true" outlineLevel="0" collapsed="false">
      <c r="A1" s="1" t="s">
        <v>20</v>
      </c>
      <c r="B1" s="1"/>
      <c r="C1" s="1"/>
      <c r="D1" s="1"/>
      <c r="E1" s="1"/>
      <c r="F1" s="1"/>
      <c r="G1" s="1"/>
    </row>
    <row r="3" customFormat="false" ht="22.35" hidden="false" customHeight="false" outlineLevel="0" collapsed="false">
      <c r="A3" s="6" t="s">
        <v>21</v>
      </c>
    </row>
    <row r="4" customFormat="false" ht="15" hidden="false" customHeight="false" outlineLevel="0" collapsed="false">
      <c r="A4" s="7" t="s">
        <v>22</v>
      </c>
      <c r="B4" s="7" t="s">
        <v>23</v>
      </c>
      <c r="C4" s="7" t="s">
        <v>24</v>
      </c>
      <c r="D4" s="7" t="s">
        <v>25</v>
      </c>
      <c r="E4" s="7" t="s">
        <v>26</v>
      </c>
      <c r="F4" s="7" t="s">
        <v>27</v>
      </c>
      <c r="G4" s="7" t="s">
        <v>28</v>
      </c>
    </row>
    <row r="5" customFormat="false" ht="15" hidden="false" customHeight="false" outlineLevel="0" collapsed="false">
      <c r="A5" s="8" t="s">
        <v>29</v>
      </c>
      <c r="B5" s="9" t="n">
        <v>15000</v>
      </c>
      <c r="C5" s="10" t="n">
        <v>0.24</v>
      </c>
      <c r="D5" s="9" t="n">
        <v>500</v>
      </c>
      <c r="E5" s="11" t="n">
        <f aca="false">IF($B5="","",$B5*$C5/12)</f>
        <v>300</v>
      </c>
      <c r="F5" s="12" t="n">
        <f aca="false">IF($B5="","",COUNTIF($B$5:$B$14,"&lt;"&amp;$B5)+1)</f>
        <v>1</v>
      </c>
      <c r="G5" s="12" t="n">
        <f aca="false">IF($B5="","",COUNTIF($C$5:$C$14,"&gt;"&amp;$C5)+1)</f>
        <v>1</v>
      </c>
    </row>
    <row r="6" customFormat="false" ht="15" hidden="false" customHeight="false" outlineLevel="0" collapsed="false">
      <c r="A6" s="8" t="s">
        <v>30</v>
      </c>
      <c r="B6" s="9" t="n">
        <v>80000</v>
      </c>
      <c r="C6" s="10" t="n">
        <v>0.06</v>
      </c>
      <c r="D6" s="9" t="n">
        <v>1800</v>
      </c>
      <c r="E6" s="11" t="n">
        <f aca="false">IF($B6="","",$B6*$C6/12)</f>
        <v>400</v>
      </c>
      <c r="F6" s="12" t="n">
        <f aca="false">IF($B6="","",COUNTIF($B$5:$B$14,"&lt;"&amp;$B6)+1)</f>
        <v>3</v>
      </c>
      <c r="G6" s="12" t="n">
        <f aca="false">IF($B6="","",COUNTIF($C$5:$C$14,"&gt;"&amp;$C6)+1)</f>
        <v>2</v>
      </c>
    </row>
    <row r="7" customFormat="false" ht="15" hidden="false" customHeight="false" outlineLevel="0" collapsed="false">
      <c r="A7" s="8" t="s">
        <v>31</v>
      </c>
      <c r="B7" s="9" t="n">
        <v>20000</v>
      </c>
      <c r="C7" s="10" t="n">
        <v>0</v>
      </c>
      <c r="D7" s="9" t="n">
        <v>400</v>
      </c>
      <c r="E7" s="11" t="n">
        <f aca="false">IF($B7="","",$B7*$C7/12)</f>
        <v>0</v>
      </c>
      <c r="F7" s="12" t="n">
        <f aca="false">IF($B7="","",COUNTIF($B$5:$B$14,"&lt;"&amp;$B7)+1)</f>
        <v>2</v>
      </c>
      <c r="G7" s="12" t="n">
        <f aca="false">IF($B7="","",COUNTIF($C$5:$C$14,"&gt;"&amp;$C7)+1)</f>
        <v>3</v>
      </c>
    </row>
    <row r="8" customFormat="false" ht="15" hidden="false" customHeight="false" outlineLevel="0" collapsed="false">
      <c r="A8" s="8"/>
      <c r="B8" s="9"/>
      <c r="C8" s="10"/>
      <c r="D8" s="9"/>
      <c r="E8" s="11" t="str">
        <f aca="false">IF($B8="","",$B8*$C8/12)</f>
        <v/>
      </c>
      <c r="F8" s="12" t="str">
        <f aca="false">IF($B8="","",COUNTIF($B$5:$B$14,"&lt;"&amp;$B8)+1)</f>
        <v/>
      </c>
      <c r="G8" s="12" t="str">
        <f aca="false">IF($B8="","",COUNTIF($C$5:$C$14,"&gt;"&amp;$C8)+1)</f>
        <v/>
      </c>
    </row>
    <row r="9" customFormat="false" ht="15" hidden="false" customHeight="false" outlineLevel="0" collapsed="false">
      <c r="A9" s="8"/>
      <c r="B9" s="9"/>
      <c r="C9" s="10"/>
      <c r="D9" s="9"/>
      <c r="E9" s="11" t="str">
        <f aca="false">IF($B9="","",$B9*$C9/12)</f>
        <v/>
      </c>
      <c r="F9" s="12" t="str">
        <f aca="false">IF($B9="","",COUNTIF($B$5:$B$14,"&lt;"&amp;$B9)+1)</f>
        <v/>
      </c>
      <c r="G9" s="12" t="str">
        <f aca="false">IF($B9="","",COUNTIF($C$5:$C$14,"&gt;"&amp;$C9)+1)</f>
        <v/>
      </c>
    </row>
    <row r="10" customFormat="false" ht="15" hidden="false" customHeight="false" outlineLevel="0" collapsed="false">
      <c r="A10" s="8"/>
      <c r="B10" s="9"/>
      <c r="C10" s="10"/>
      <c r="D10" s="9"/>
      <c r="E10" s="11" t="str">
        <f aca="false">IF($B10="","",$B10*$C10/12)</f>
        <v/>
      </c>
      <c r="F10" s="12" t="str">
        <f aca="false">IF($B10="","",COUNTIF($B$5:$B$14,"&lt;"&amp;$B10)+1)</f>
        <v/>
      </c>
      <c r="G10" s="12" t="str">
        <f aca="false">IF($B10="","",COUNTIF($C$5:$C$14,"&gt;"&amp;$C10)+1)</f>
        <v/>
      </c>
    </row>
    <row r="11" customFormat="false" ht="15" hidden="false" customHeight="false" outlineLevel="0" collapsed="false">
      <c r="A11" s="8"/>
      <c r="B11" s="9"/>
      <c r="C11" s="10"/>
      <c r="D11" s="9"/>
      <c r="E11" s="11" t="str">
        <f aca="false">IF($B11="","",$B11*$C11/12)</f>
        <v/>
      </c>
      <c r="F11" s="12" t="str">
        <f aca="false">IF($B11="","",COUNTIF($B$5:$B$14,"&lt;"&amp;$B11)+1)</f>
        <v/>
      </c>
      <c r="G11" s="12" t="str">
        <f aca="false">IF($B11="","",COUNTIF($C$5:$C$14,"&gt;"&amp;$C11)+1)</f>
        <v/>
      </c>
    </row>
    <row r="12" customFormat="false" ht="15" hidden="false" customHeight="false" outlineLevel="0" collapsed="false">
      <c r="A12" s="8"/>
      <c r="B12" s="9"/>
      <c r="C12" s="10"/>
      <c r="D12" s="9"/>
      <c r="E12" s="11" t="str">
        <f aca="false">IF($B12="","",$B12*$C12/12)</f>
        <v/>
      </c>
      <c r="F12" s="12" t="str">
        <f aca="false">IF($B12="","",COUNTIF($B$5:$B$14,"&lt;"&amp;$B12)+1)</f>
        <v/>
      </c>
      <c r="G12" s="12" t="str">
        <f aca="false">IF($B12="","",COUNTIF($C$5:$C$14,"&gt;"&amp;$C12)+1)</f>
        <v/>
      </c>
    </row>
    <row r="13" customFormat="false" ht="15" hidden="false" customHeight="false" outlineLevel="0" collapsed="false">
      <c r="A13" s="8"/>
      <c r="B13" s="9"/>
      <c r="C13" s="10"/>
      <c r="D13" s="9"/>
      <c r="E13" s="11" t="str">
        <f aca="false">IF($B13="","",$B13*$C13/12)</f>
        <v/>
      </c>
      <c r="F13" s="12" t="str">
        <f aca="false">IF($B13="","",COUNTIF($B$5:$B$14,"&lt;"&amp;$B13)+1)</f>
        <v/>
      </c>
      <c r="G13" s="12" t="str">
        <f aca="false">IF($B13="","",COUNTIF($C$5:$C$14,"&gt;"&amp;$C13)+1)</f>
        <v/>
      </c>
    </row>
    <row r="14" customFormat="false" ht="15" hidden="false" customHeight="false" outlineLevel="0" collapsed="false">
      <c r="A14" s="8"/>
      <c r="B14" s="9"/>
      <c r="C14" s="10"/>
      <c r="D14" s="9"/>
      <c r="E14" s="11" t="str">
        <f aca="false">IF($B14="","",$B14*$C14/12)</f>
        <v/>
      </c>
      <c r="F14" s="12" t="str">
        <f aca="false">IF($B14="","",COUNTIF($B$5:$B$14,"&lt;"&amp;$B14)+1)</f>
        <v/>
      </c>
      <c r="G14" s="12" t="str">
        <f aca="false">IF($B14="","",COUNTIF($C$5:$C$14,"&gt;"&amp;$C14)+1)</f>
        <v/>
      </c>
    </row>
    <row r="15" customFormat="false" ht="15" hidden="false" customHeight="false" outlineLevel="0" collapsed="false">
      <c r="A15" s="13" t="s">
        <v>32</v>
      </c>
      <c r="B15" s="14" t="n">
        <f aca="false">SUM(B5:B14)</f>
        <v>115000</v>
      </c>
      <c r="C15" s="13"/>
      <c r="D15" s="14" t="n">
        <f aca="false">SUM(D5:D14)</f>
        <v>2700</v>
      </c>
      <c r="E15" s="14" t="n">
        <f aca="false">SUM(E5:E14)</f>
        <v>700</v>
      </c>
      <c r="F15" s="13"/>
      <c r="G15" s="13"/>
    </row>
    <row r="17" customFormat="false" ht="43.25" hidden="false" customHeight="false" outlineLevel="0" collapsed="false">
      <c r="A17" s="6" t="s">
        <v>33</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15E59"/>
    <pageSetUpPr fitToPage="false"/>
  </sheetPr>
  <dimension ref="A1:J13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4" min="3" style="0" width="14"/>
    <col collapsed="false" customWidth="true" hidden="false" outlineLevel="0" max="5" min="5" style="0" width="16"/>
    <col collapsed="false" customWidth="true" hidden="false" outlineLevel="0" max="6" min="6" style="0" width="3"/>
    <col collapsed="false" customWidth="true" hidden="false" outlineLevel="0" max="7" min="7" style="0" width="16"/>
    <col collapsed="false" customWidth="true" hidden="false" outlineLevel="0" max="9" min="8" style="0" width="14"/>
    <col collapsed="false" customWidth="true" hidden="false" outlineLevel="0" max="10" min="10" style="0" width="16"/>
  </cols>
  <sheetData>
    <row r="1" customFormat="false" ht="33.75" hidden="false" customHeight="true" outlineLevel="0" collapsed="false">
      <c r="A1" s="1" t="s">
        <v>34</v>
      </c>
      <c r="B1" s="1"/>
      <c r="C1" s="1"/>
      <c r="D1" s="1"/>
      <c r="E1" s="1"/>
      <c r="F1" s="1"/>
      <c r="G1" s="1"/>
      <c r="H1" s="1"/>
      <c r="I1" s="1"/>
      <c r="J1" s="1"/>
    </row>
    <row r="2" customFormat="false" ht="15" hidden="false" customHeight="false" outlineLevel="0" collapsed="false">
      <c r="A2" s="15" t="s">
        <v>35</v>
      </c>
      <c r="B2" s="16" t="n">
        <f aca="false">الديون!B15</f>
        <v>115000</v>
      </c>
      <c r="C2" s="17" t="str">
        <f aca="false">IF(AND(B2&gt;0,B5&lt;=B2*B7),"⚠ الدفعة لا تغطي الفوائد — ارفع الدفعة الإضافية","")</f>
        <v/>
      </c>
      <c r="D2" s="17"/>
      <c r="E2" s="17"/>
    </row>
    <row r="3" customFormat="false" ht="15" hidden="false" customHeight="false" outlineLevel="0" collapsed="false">
      <c r="A3" s="15" t="s">
        <v>36</v>
      </c>
      <c r="B3" s="18" t="n">
        <f aca="false">الديون!D15</f>
        <v>2700</v>
      </c>
    </row>
    <row r="4" customFormat="false" ht="15" hidden="false" customHeight="true" outlineLevel="0" collapsed="false">
      <c r="A4" s="15" t="s">
        <v>37</v>
      </c>
      <c r="B4" s="9" t="n">
        <v>1000</v>
      </c>
      <c r="D4" s="19" t="s">
        <v>38</v>
      </c>
      <c r="E4" s="19"/>
      <c r="F4" s="19"/>
      <c r="G4" s="19"/>
      <c r="H4" s="19"/>
      <c r="I4" s="19"/>
      <c r="J4" s="19"/>
    </row>
    <row r="5" customFormat="false" ht="15" hidden="false" customHeight="false" outlineLevel="0" collapsed="false">
      <c r="A5" s="15" t="s">
        <v>39</v>
      </c>
      <c r="B5" s="14" t="n">
        <f aca="false">B3+B4</f>
        <v>3700</v>
      </c>
    </row>
    <row r="6" customFormat="false" ht="15" hidden="false" customHeight="false" outlineLevel="0" collapsed="false">
      <c r="A6" s="15" t="s">
        <v>40</v>
      </c>
      <c r="B6" s="20" t="n">
        <f aca="false">IFERROR(SUMPRODUCT(الديون!B5:B14,الديون!C5:C14)/B2,0)</f>
        <v>0.0730434782608696</v>
      </c>
    </row>
    <row r="7" customFormat="false" ht="15" hidden="false" customHeight="false" outlineLevel="0" collapsed="false">
      <c r="A7" s="15" t="s">
        <v>26</v>
      </c>
      <c r="B7" s="21" t="n">
        <f aca="false">B6/12</f>
        <v>0.00608695652173913</v>
      </c>
    </row>
    <row r="8" customFormat="false" ht="15" hidden="false" customHeight="false" outlineLevel="0" collapsed="false">
      <c r="A8" s="15" t="s">
        <v>41</v>
      </c>
      <c r="B8" s="22" t="n">
        <f aca="false">IF(B2=0,0,IFERROR(MATCH(0,E12:E131,0),"أكثر من 120"))</f>
        <v>35</v>
      </c>
    </row>
    <row r="9" customFormat="false" ht="15" hidden="false" customHeight="false" outlineLevel="0" collapsed="false">
      <c r="A9" s="15" t="s">
        <v>42</v>
      </c>
      <c r="B9" s="23" t="n">
        <f aca="true">IF(ISNUMBER(B8),EDATE(TODAY(),B8),"—")</f>
        <v>47287</v>
      </c>
    </row>
    <row r="10" customFormat="false" ht="15" hidden="false" customHeight="true" outlineLevel="0" collapsed="false">
      <c r="A10" s="15" t="s">
        <v>43</v>
      </c>
      <c r="B10" s="11" t="n">
        <f aca="false">SUM(C12:C131)</f>
        <v>12870.4808128838</v>
      </c>
      <c r="G10" s="24" t="s">
        <v>44</v>
      </c>
      <c r="H10" s="24"/>
      <c r="I10" s="24"/>
      <c r="J10" s="24"/>
    </row>
    <row r="11" customFormat="false" ht="15" hidden="false" customHeight="false" outlineLevel="0" collapsed="false">
      <c r="A11" s="7" t="s">
        <v>45</v>
      </c>
      <c r="B11" s="7" t="s">
        <v>46</v>
      </c>
      <c r="C11" s="7" t="s">
        <v>47</v>
      </c>
      <c r="D11" s="7" t="s">
        <v>48</v>
      </c>
      <c r="E11" s="7" t="s">
        <v>49</v>
      </c>
      <c r="G11" s="7" t="s">
        <v>46</v>
      </c>
      <c r="H11" s="7" t="s">
        <v>47</v>
      </c>
      <c r="I11" s="7" t="s">
        <v>48</v>
      </c>
      <c r="J11" s="7" t="s">
        <v>49</v>
      </c>
    </row>
    <row r="12" customFormat="false" ht="15" hidden="false" customHeight="false" outlineLevel="0" collapsed="false">
      <c r="A12" s="12" t="n">
        <v>1</v>
      </c>
      <c r="B12" s="11" t="n">
        <f aca="false">B2</f>
        <v>115000</v>
      </c>
      <c r="C12" s="11" t="n">
        <f aca="false">B12*$B$7</f>
        <v>700</v>
      </c>
      <c r="D12" s="11" t="n">
        <f aca="false">MIN(B12+C12,$B$5)</f>
        <v>3700</v>
      </c>
      <c r="E12" s="11" t="n">
        <f aca="false">MAX(0,B12+C12-D12)</f>
        <v>112000</v>
      </c>
      <c r="G12" s="11" t="n">
        <f aca="false">B2</f>
        <v>115000</v>
      </c>
      <c r="H12" s="11" t="n">
        <f aca="false">G12*$B$7</f>
        <v>700</v>
      </c>
      <c r="I12" s="11" t="n">
        <f aca="false">MIN(G12+H12,$B$3)</f>
        <v>2700</v>
      </c>
      <c r="J12" s="11" t="n">
        <f aca="false">MAX(0,G12+H12-I12)</f>
        <v>113000</v>
      </c>
    </row>
    <row r="13" customFormat="false" ht="15" hidden="false" customHeight="false" outlineLevel="0" collapsed="false">
      <c r="A13" s="25" t="n">
        <v>2</v>
      </c>
      <c r="B13" s="26" t="n">
        <f aca="false">E12</f>
        <v>112000</v>
      </c>
      <c r="C13" s="26" t="n">
        <f aca="false">B13*$B$7</f>
        <v>681.739130434783</v>
      </c>
      <c r="D13" s="26" t="n">
        <f aca="false">MIN(B13+C13,$B$5)</f>
        <v>3700</v>
      </c>
      <c r="E13" s="26" t="n">
        <f aca="false">MAX(0,B13+C13-D13)</f>
        <v>108981.739130435</v>
      </c>
      <c r="G13" s="26" t="n">
        <f aca="false">J12</f>
        <v>113000</v>
      </c>
      <c r="H13" s="26" t="n">
        <f aca="false">G13*$B$7</f>
        <v>687.826086956522</v>
      </c>
      <c r="I13" s="26" t="n">
        <f aca="false">MIN(G13+H13,$B$3)</f>
        <v>2700</v>
      </c>
      <c r="J13" s="26" t="n">
        <f aca="false">MAX(0,G13+H13-I13)</f>
        <v>110987.826086957</v>
      </c>
    </row>
    <row r="14" customFormat="false" ht="15" hidden="false" customHeight="false" outlineLevel="0" collapsed="false">
      <c r="A14" s="12" t="n">
        <v>3</v>
      </c>
      <c r="B14" s="11" t="n">
        <f aca="false">E13</f>
        <v>108981.739130435</v>
      </c>
      <c r="C14" s="11" t="n">
        <f aca="false">B14*$B$7</f>
        <v>663.367107750473</v>
      </c>
      <c r="D14" s="11" t="n">
        <f aca="false">MIN(B14+C14,$B$5)</f>
        <v>3700</v>
      </c>
      <c r="E14" s="11" t="n">
        <f aca="false">MAX(0,B14+C14-D14)</f>
        <v>105945.106238185</v>
      </c>
      <c r="G14" s="11" t="n">
        <f aca="false">J13</f>
        <v>110987.826086957</v>
      </c>
      <c r="H14" s="11" t="n">
        <f aca="false">G14*$B$7</f>
        <v>675.578071833649</v>
      </c>
      <c r="I14" s="11" t="n">
        <f aca="false">MIN(G14+H14,$B$3)</f>
        <v>2700</v>
      </c>
      <c r="J14" s="11" t="n">
        <f aca="false">MAX(0,G14+H14-I14)</f>
        <v>108963.40415879</v>
      </c>
    </row>
    <row r="15" customFormat="false" ht="15" hidden="false" customHeight="false" outlineLevel="0" collapsed="false">
      <c r="A15" s="25" t="n">
        <v>4</v>
      </c>
      <c r="B15" s="26" t="n">
        <f aca="false">E14</f>
        <v>105945.106238185</v>
      </c>
      <c r="C15" s="26" t="n">
        <f aca="false">B15*$B$7</f>
        <v>644.883255362867</v>
      </c>
      <c r="D15" s="26" t="n">
        <f aca="false">MIN(B15+C15,$B$5)</f>
        <v>3700</v>
      </c>
      <c r="E15" s="26" t="n">
        <f aca="false">MAX(0,B15+C15-D15)</f>
        <v>102889.989493548</v>
      </c>
      <c r="G15" s="26" t="n">
        <f aca="false">J14</f>
        <v>108963.40415879</v>
      </c>
      <c r="H15" s="26" t="n">
        <f aca="false">G15*$B$7</f>
        <v>663.255503575245</v>
      </c>
      <c r="I15" s="26" t="n">
        <f aca="false">MIN(G15+H15,$B$3)</f>
        <v>2700</v>
      </c>
      <c r="J15" s="26" t="n">
        <f aca="false">MAX(0,G15+H15-I15)</f>
        <v>106926.659662365</v>
      </c>
    </row>
    <row r="16" customFormat="false" ht="15" hidden="false" customHeight="false" outlineLevel="0" collapsed="false">
      <c r="A16" s="12" t="n">
        <v>5</v>
      </c>
      <c r="B16" s="11" t="n">
        <f aca="false">E15</f>
        <v>102889.989493548</v>
      </c>
      <c r="C16" s="11" t="n">
        <f aca="false">B16*$B$7</f>
        <v>626.286892569423</v>
      </c>
      <c r="D16" s="11" t="n">
        <f aca="false">MIN(B16+C16,$B$5)</f>
        <v>3700</v>
      </c>
      <c r="E16" s="11" t="n">
        <f aca="false">MAX(0,B16+C16-D16)</f>
        <v>99816.2763861175</v>
      </c>
      <c r="G16" s="11" t="n">
        <f aca="false">J15</f>
        <v>106926.659662365</v>
      </c>
      <c r="H16" s="11" t="n">
        <f aca="false">G16*$B$7</f>
        <v>650.857928379616</v>
      </c>
      <c r="I16" s="11" t="n">
        <f aca="false">MIN(G16+H16,$B$3)</f>
        <v>2700</v>
      </c>
      <c r="J16" s="11" t="n">
        <f aca="false">MAX(0,G16+H16-I16)</f>
        <v>104877.517590745</v>
      </c>
    </row>
    <row r="17" customFormat="false" ht="15" hidden="false" customHeight="false" outlineLevel="0" collapsed="false">
      <c r="A17" s="25" t="n">
        <v>6</v>
      </c>
      <c r="B17" s="26" t="n">
        <f aca="false">E16</f>
        <v>99816.2763861175</v>
      </c>
      <c r="C17" s="26" t="n">
        <f aca="false">B17*$B$7</f>
        <v>607.577334524194</v>
      </c>
      <c r="D17" s="26" t="n">
        <f aca="false">MIN(B17+C17,$B$5)</f>
        <v>3700</v>
      </c>
      <c r="E17" s="26" t="n">
        <f aca="false">MAX(0,B17+C17-D17)</f>
        <v>96723.8537206417</v>
      </c>
      <c r="G17" s="26" t="n">
        <f aca="false">J16</f>
        <v>104877.517590745</v>
      </c>
      <c r="H17" s="26" t="n">
        <f aca="false">G17*$B$7</f>
        <v>638.384889682796</v>
      </c>
      <c r="I17" s="26" t="n">
        <f aca="false">MIN(G17+H17,$B$3)</f>
        <v>2700</v>
      </c>
      <c r="J17" s="26" t="n">
        <f aca="false">MAX(0,G17+H17-I17)</f>
        <v>102815.902480428</v>
      </c>
    </row>
    <row r="18" customFormat="false" ht="15" hidden="false" customHeight="false" outlineLevel="0" collapsed="false">
      <c r="A18" s="12" t="n">
        <v>7</v>
      </c>
      <c r="B18" s="11" t="n">
        <f aca="false">E17</f>
        <v>96723.8537206417</v>
      </c>
      <c r="C18" s="11" t="n">
        <f aca="false">B18*$B$7</f>
        <v>588.753892212602</v>
      </c>
      <c r="D18" s="11" t="n">
        <f aca="false">MIN(B18+C18,$B$5)</f>
        <v>3700</v>
      </c>
      <c r="E18" s="11" t="n">
        <f aca="false">MAX(0,B18+C18-D18)</f>
        <v>93612.6076128543</v>
      </c>
      <c r="G18" s="11" t="n">
        <f aca="false">J17</f>
        <v>102815.902480428</v>
      </c>
      <c r="H18" s="11" t="n">
        <f aca="false">G18*$B$7</f>
        <v>625.835928141735</v>
      </c>
      <c r="I18" s="11" t="n">
        <f aca="false">MIN(G18+H18,$B$3)</f>
        <v>2700</v>
      </c>
      <c r="J18" s="11" t="n">
        <f aca="false">MAX(0,G18+H18-I18)</f>
        <v>100741.73840857</v>
      </c>
    </row>
    <row r="19" customFormat="false" ht="15" hidden="false" customHeight="false" outlineLevel="0" collapsed="false">
      <c r="A19" s="25" t="n">
        <v>8</v>
      </c>
      <c r="B19" s="26" t="n">
        <f aca="false">E18</f>
        <v>93612.6076128543</v>
      </c>
      <c r="C19" s="26" t="n">
        <f aca="false">B19*$B$7</f>
        <v>569.81587242607</v>
      </c>
      <c r="D19" s="26" t="n">
        <f aca="false">MIN(B19+C19,$B$5)</f>
        <v>3700</v>
      </c>
      <c r="E19" s="26" t="n">
        <f aca="false">MAX(0,B19+C19-D19)</f>
        <v>90482.4234852804</v>
      </c>
      <c r="G19" s="26" t="n">
        <f aca="false">J18</f>
        <v>100741.73840857</v>
      </c>
      <c r="H19" s="26" t="n">
        <f aca="false">G19*$B$7</f>
        <v>613.21058161738</v>
      </c>
      <c r="I19" s="26" t="n">
        <f aca="false">MIN(G19+H19,$B$3)</f>
        <v>2700</v>
      </c>
      <c r="J19" s="26" t="n">
        <f aca="false">MAX(0,G19+H19-I19)</f>
        <v>98654.948990187</v>
      </c>
    </row>
    <row r="20" customFormat="false" ht="15" hidden="false" customHeight="false" outlineLevel="0" collapsed="false">
      <c r="A20" s="12" t="n">
        <v>9</v>
      </c>
      <c r="B20" s="11" t="n">
        <f aca="false">E19</f>
        <v>90482.4234852804</v>
      </c>
      <c r="C20" s="11" t="n">
        <f aca="false">B20*$B$7</f>
        <v>550.762577736489</v>
      </c>
      <c r="D20" s="11" t="n">
        <f aca="false">MIN(B20+C20,$B$5)</f>
        <v>3700</v>
      </c>
      <c r="E20" s="11" t="n">
        <f aca="false">MAX(0,B20+C20-D20)</f>
        <v>87333.1860630169</v>
      </c>
      <c r="G20" s="11" t="n">
        <f aca="false">J19</f>
        <v>98654.948990187</v>
      </c>
      <c r="H20" s="11" t="n">
        <f aca="false">G20*$B$7</f>
        <v>600.50838515766</v>
      </c>
      <c r="I20" s="11" t="n">
        <f aca="false">MIN(G20+H20,$B$3)</f>
        <v>2700</v>
      </c>
      <c r="J20" s="11" t="n">
        <f aca="false">MAX(0,G20+H20-I20)</f>
        <v>96555.4573753446</v>
      </c>
    </row>
    <row r="21" customFormat="false" ht="15" hidden="false" customHeight="false" outlineLevel="0" collapsed="false">
      <c r="A21" s="25" t="n">
        <v>10</v>
      </c>
      <c r="B21" s="26" t="n">
        <f aca="false">E20</f>
        <v>87333.1860630169</v>
      </c>
      <c r="C21" s="26" t="n">
        <f aca="false">B21*$B$7</f>
        <v>531.593306470538</v>
      </c>
      <c r="D21" s="26" t="n">
        <f aca="false">MIN(B21+C21,$B$5)</f>
        <v>3700</v>
      </c>
      <c r="E21" s="26" t="n">
        <f aca="false">MAX(0,B21+C21-D21)</f>
        <v>84164.7793694874</v>
      </c>
      <c r="G21" s="26" t="n">
        <f aca="false">J20</f>
        <v>96555.4573753446</v>
      </c>
      <c r="H21" s="26" t="n">
        <f aca="false">G21*$B$7</f>
        <v>587.728870980359</v>
      </c>
      <c r="I21" s="26" t="n">
        <f aca="false">MIN(G21+H21,$B$3)</f>
        <v>2700</v>
      </c>
      <c r="J21" s="26" t="n">
        <f aca="false">MAX(0,G21+H21-I21)</f>
        <v>94443.186246325</v>
      </c>
    </row>
    <row r="22" customFormat="false" ht="15" hidden="false" customHeight="false" outlineLevel="0" collapsed="false">
      <c r="A22" s="12" t="n">
        <v>11</v>
      </c>
      <c r="B22" s="11" t="n">
        <f aca="false">E21</f>
        <v>84164.7793694874</v>
      </c>
      <c r="C22" s="11" t="n">
        <f aca="false">B22*$B$7</f>
        <v>512.307352683837</v>
      </c>
      <c r="D22" s="11" t="n">
        <f aca="false">MIN(B22+C22,$B$5)</f>
        <v>3700</v>
      </c>
      <c r="E22" s="11" t="n">
        <f aca="false">MAX(0,B22+C22-D22)</f>
        <v>80977.0867221713</v>
      </c>
      <c r="G22" s="11" t="n">
        <f aca="false">J21</f>
        <v>94443.186246325</v>
      </c>
      <c r="H22" s="11" t="n">
        <f aca="false">G22*$B$7</f>
        <v>574.871568455891</v>
      </c>
      <c r="I22" s="11" t="n">
        <f aca="false">MIN(G22+H22,$B$3)</f>
        <v>2700</v>
      </c>
      <c r="J22" s="11" t="n">
        <f aca="false">MAX(0,G22+H22-I22)</f>
        <v>92318.0578147809</v>
      </c>
    </row>
    <row r="23" customFormat="false" ht="15" hidden="false" customHeight="false" outlineLevel="0" collapsed="false">
      <c r="A23" s="25" t="n">
        <v>12</v>
      </c>
      <c r="B23" s="26" t="n">
        <f aca="false">E22</f>
        <v>80977.0867221713</v>
      </c>
      <c r="C23" s="26" t="n">
        <f aca="false">B23*$B$7</f>
        <v>492.904006134956</v>
      </c>
      <c r="D23" s="26" t="n">
        <f aca="false">MIN(B23+C23,$B$5)</f>
        <v>3700</v>
      </c>
      <c r="E23" s="26" t="n">
        <f aca="false">MAX(0,B23+C23-D23)</f>
        <v>77769.9907283062</v>
      </c>
      <c r="G23" s="26" t="n">
        <f aca="false">J22</f>
        <v>92318.0578147809</v>
      </c>
      <c r="H23" s="26" t="n">
        <f aca="false">G23*$B$7</f>
        <v>561.936004089971</v>
      </c>
      <c r="I23" s="26" t="n">
        <f aca="false">MIN(G23+H23,$B$3)</f>
        <v>2700</v>
      </c>
      <c r="J23" s="26" t="n">
        <f aca="false">MAX(0,G23+H23-I23)</f>
        <v>90179.9938188708</v>
      </c>
    </row>
    <row r="24" customFormat="false" ht="15" hidden="false" customHeight="false" outlineLevel="0" collapsed="false">
      <c r="A24" s="12" t="n">
        <v>13</v>
      </c>
      <c r="B24" s="11" t="n">
        <f aca="false">E23</f>
        <v>77769.9907283062</v>
      </c>
      <c r="C24" s="11" t="n">
        <f aca="false">B24*$B$7</f>
        <v>473.382552259255</v>
      </c>
      <c r="D24" s="11" t="n">
        <f aca="false">MIN(B24+C24,$B$5)</f>
        <v>3700</v>
      </c>
      <c r="E24" s="11" t="n">
        <f aca="false">MAX(0,B24+C24-D24)</f>
        <v>74543.3732805655</v>
      </c>
      <c r="G24" s="11" t="n">
        <f aca="false">J23</f>
        <v>90179.9938188708</v>
      </c>
      <c r="H24" s="11" t="n">
        <f aca="false">G24*$B$7</f>
        <v>548.92170150617</v>
      </c>
      <c r="I24" s="11" t="n">
        <f aca="false">MIN(G24+H24,$B$3)</f>
        <v>2700</v>
      </c>
      <c r="J24" s="11" t="n">
        <f aca="false">MAX(0,G24+H24-I24)</f>
        <v>88028.915520377</v>
      </c>
    </row>
    <row r="25" customFormat="false" ht="15" hidden="false" customHeight="false" outlineLevel="0" collapsed="false">
      <c r="A25" s="25" t="n">
        <v>14</v>
      </c>
      <c r="B25" s="26" t="n">
        <f aca="false">E24</f>
        <v>74543.3732805655</v>
      </c>
      <c r="C25" s="26" t="n">
        <f aca="false">B25*$B$7</f>
        <v>453.742272142572</v>
      </c>
      <c r="D25" s="26" t="n">
        <f aca="false">MIN(B25+C25,$B$5)</f>
        <v>3700</v>
      </c>
      <c r="E25" s="26" t="n">
        <f aca="false">MAX(0,B25+C25-D25)</f>
        <v>71297.115552708</v>
      </c>
      <c r="G25" s="26" t="n">
        <f aca="false">J24</f>
        <v>88028.915520377</v>
      </c>
      <c r="H25" s="26" t="n">
        <f aca="false">G25*$B$7</f>
        <v>535.828181428382</v>
      </c>
      <c r="I25" s="26" t="n">
        <f aca="false">MIN(G25+H25,$B$3)</f>
        <v>2700</v>
      </c>
      <c r="J25" s="26" t="n">
        <f aca="false">MAX(0,G25+H25-I25)</f>
        <v>85864.7437018054</v>
      </c>
    </row>
    <row r="26" customFormat="false" ht="15" hidden="false" customHeight="false" outlineLevel="0" collapsed="false">
      <c r="A26" s="12" t="n">
        <v>15</v>
      </c>
      <c r="B26" s="11" t="n">
        <f aca="false">E25</f>
        <v>71297.115552708</v>
      </c>
      <c r="C26" s="11" t="n">
        <f aca="false">B26*$B$7</f>
        <v>433.982442494745</v>
      </c>
      <c r="D26" s="11" t="n">
        <f aca="false">MIN(B26+C26,$B$5)</f>
        <v>3700</v>
      </c>
      <c r="E26" s="11" t="n">
        <f aca="false">MAX(0,B26+C26-D26)</f>
        <v>68031.0979952028</v>
      </c>
      <c r="G26" s="11" t="n">
        <f aca="false">J25</f>
        <v>85864.7437018054</v>
      </c>
      <c r="H26" s="11" t="n">
        <f aca="false">G26*$B$7</f>
        <v>522.654961663163</v>
      </c>
      <c r="I26" s="11" t="n">
        <f aca="false">MIN(G26+H26,$B$3)</f>
        <v>2700</v>
      </c>
      <c r="J26" s="11" t="n">
        <f aca="false">MAX(0,G26+H26-I26)</f>
        <v>83687.3986634686</v>
      </c>
    </row>
    <row r="27" customFormat="false" ht="15" hidden="false" customHeight="false" outlineLevel="0" collapsed="false">
      <c r="A27" s="25" t="n">
        <v>16</v>
      </c>
      <c r="B27" s="26" t="n">
        <f aca="false">E26</f>
        <v>68031.0979952028</v>
      </c>
      <c r="C27" s="26" t="n">
        <f aca="false">B27*$B$7</f>
        <v>414.102335622973</v>
      </c>
      <c r="D27" s="26" t="n">
        <f aca="false">MIN(B27+C27,$B$5)</f>
        <v>3700</v>
      </c>
      <c r="E27" s="26" t="n">
        <f aca="false">MAX(0,B27+C27-D27)</f>
        <v>64745.2003308257</v>
      </c>
      <c r="G27" s="26" t="n">
        <f aca="false">J26</f>
        <v>83687.3986634686</v>
      </c>
      <c r="H27" s="26" t="n">
        <f aca="false">G27*$B$7</f>
        <v>509.401557081983</v>
      </c>
      <c r="I27" s="26" t="n">
        <f aca="false">MIN(G27+H27,$B$3)</f>
        <v>2700</v>
      </c>
      <c r="J27" s="26" t="n">
        <f aca="false">MAX(0,G27+H27-I27)</f>
        <v>81496.8002205505</v>
      </c>
    </row>
    <row r="28" customFormat="false" ht="15" hidden="false" customHeight="false" outlineLevel="0" collapsed="false">
      <c r="A28" s="12" t="n">
        <v>17</v>
      </c>
      <c r="B28" s="11" t="n">
        <f aca="false">E27</f>
        <v>64745.2003308257</v>
      </c>
      <c r="C28" s="11" t="n">
        <f aca="false">B28*$B$7</f>
        <v>394.101219405026</v>
      </c>
      <c r="D28" s="11" t="n">
        <f aca="false">MIN(B28+C28,$B$5)</f>
        <v>3700</v>
      </c>
      <c r="E28" s="11" t="n">
        <f aca="false">MAX(0,B28+C28-D28)</f>
        <v>61439.3015502308</v>
      </c>
      <c r="G28" s="11" t="n">
        <f aca="false">J27</f>
        <v>81496.8002205505</v>
      </c>
      <c r="H28" s="11" t="n">
        <f aca="false">G28*$B$7</f>
        <v>496.067479603351</v>
      </c>
      <c r="I28" s="11" t="n">
        <f aca="false">MIN(G28+H28,$B$3)</f>
        <v>2700</v>
      </c>
      <c r="J28" s="11" t="n">
        <f aca="false">MAX(0,G28+H28-I28)</f>
        <v>79292.8677001539</v>
      </c>
    </row>
    <row r="29" customFormat="false" ht="15" hidden="false" customHeight="false" outlineLevel="0" collapsed="false">
      <c r="A29" s="25" t="n">
        <v>18</v>
      </c>
      <c r="B29" s="26" t="n">
        <f aca="false">E28</f>
        <v>61439.3015502308</v>
      </c>
      <c r="C29" s="26" t="n">
        <f aca="false">B29*$B$7</f>
        <v>373.978357262274</v>
      </c>
      <c r="D29" s="26" t="n">
        <f aca="false">MIN(B29+C29,$B$5)</f>
        <v>3700</v>
      </c>
      <c r="E29" s="26" t="n">
        <f aca="false">MAX(0,B29+C29-D29)</f>
        <v>58113.279907493</v>
      </c>
      <c r="G29" s="26" t="n">
        <f aca="false">J28</f>
        <v>79292.8677001539</v>
      </c>
      <c r="H29" s="26" t="n">
        <f aca="false">G29*$B$7</f>
        <v>482.65223817485</v>
      </c>
      <c r="I29" s="26" t="n">
        <f aca="false">MIN(G29+H29,$B$3)</f>
        <v>2700</v>
      </c>
      <c r="J29" s="26" t="n">
        <f aca="false">MAX(0,G29+H29-I29)</f>
        <v>77075.5199383287</v>
      </c>
    </row>
    <row r="30" customFormat="false" ht="15" hidden="false" customHeight="false" outlineLevel="0" collapsed="false">
      <c r="A30" s="12" t="n">
        <v>19</v>
      </c>
      <c r="B30" s="11" t="n">
        <f aca="false">E29</f>
        <v>58113.279907493</v>
      </c>
      <c r="C30" s="11" t="n">
        <f aca="false">B30*$B$7</f>
        <v>353.733008132566</v>
      </c>
      <c r="D30" s="11" t="n">
        <f aca="false">MIN(B30+C30,$B$5)</f>
        <v>3700</v>
      </c>
      <c r="E30" s="11" t="n">
        <f aca="false">MAX(0,B30+C30-D30)</f>
        <v>54767.0129156256</v>
      </c>
      <c r="G30" s="11" t="n">
        <f aca="false">J29</f>
        <v>77075.5199383287</v>
      </c>
      <c r="H30" s="11" t="n">
        <f aca="false">G30*$B$7</f>
        <v>469.155338755045</v>
      </c>
      <c r="I30" s="11" t="n">
        <f aca="false">MIN(G30+H30,$B$3)</f>
        <v>2700</v>
      </c>
      <c r="J30" s="11" t="n">
        <f aca="false">MAX(0,G30+H30-I30)</f>
        <v>74844.6752770838</v>
      </c>
    </row>
    <row r="31" customFormat="false" ht="15" hidden="false" customHeight="false" outlineLevel="0" collapsed="false">
      <c r="A31" s="25" t="n">
        <v>20</v>
      </c>
      <c r="B31" s="26" t="n">
        <f aca="false">E30</f>
        <v>54767.0129156256</v>
      </c>
      <c r="C31" s="26" t="n">
        <f aca="false">B31*$B$7</f>
        <v>333.364426442939</v>
      </c>
      <c r="D31" s="26" t="n">
        <f aca="false">MIN(B31+C31,$B$5)</f>
        <v>3700</v>
      </c>
      <c r="E31" s="26" t="n">
        <f aca="false">MAX(0,B31+C31-D31)</f>
        <v>51400.3773420686</v>
      </c>
      <c r="G31" s="26" t="n">
        <f aca="false">J30</f>
        <v>74844.6752770838</v>
      </c>
      <c r="H31" s="26" t="n">
        <f aca="false">G31*$B$7</f>
        <v>455.576284295293</v>
      </c>
      <c r="I31" s="26" t="n">
        <f aca="false">MIN(G31+H31,$B$3)</f>
        <v>2700</v>
      </c>
      <c r="J31" s="26" t="n">
        <f aca="false">MAX(0,G31+H31-I31)</f>
        <v>72600.2515613791</v>
      </c>
    </row>
    <row r="32" customFormat="false" ht="15" hidden="false" customHeight="false" outlineLevel="0" collapsed="false">
      <c r="A32" s="12" t="n">
        <v>21</v>
      </c>
      <c r="B32" s="11" t="n">
        <f aca="false">E31</f>
        <v>51400.3773420686</v>
      </c>
      <c r="C32" s="11" t="n">
        <f aca="false">B32*$B$7</f>
        <v>312.871862082156</v>
      </c>
      <c r="D32" s="11" t="n">
        <f aca="false">MIN(B32+C32,$B$5)</f>
        <v>3700</v>
      </c>
      <c r="E32" s="11" t="n">
        <f aca="false">MAX(0,B32+C32-D32)</f>
        <v>48013.2492041507</v>
      </c>
      <c r="G32" s="11" t="n">
        <f aca="false">J31</f>
        <v>72600.2515613791</v>
      </c>
      <c r="H32" s="11" t="n">
        <f aca="false">G32*$B$7</f>
        <v>441.914574721438</v>
      </c>
      <c r="I32" s="11" t="n">
        <f aca="false">MIN(G32+H32,$B$3)</f>
        <v>2700</v>
      </c>
      <c r="J32" s="11" t="n">
        <f aca="false">MAX(0,G32+H32-I32)</f>
        <v>70342.1661361005</v>
      </c>
    </row>
    <row r="33" customFormat="false" ht="15" hidden="false" customHeight="false" outlineLevel="0" collapsed="false">
      <c r="A33" s="25" t="n">
        <v>22</v>
      </c>
      <c r="B33" s="26" t="n">
        <f aca="false">E32</f>
        <v>48013.2492041507</v>
      </c>
      <c r="C33" s="26" t="n">
        <f aca="false">B33*$B$7</f>
        <v>292.254560373091</v>
      </c>
      <c r="D33" s="26" t="n">
        <f aca="false">MIN(B33+C33,$B$5)</f>
        <v>3700</v>
      </c>
      <c r="E33" s="26" t="n">
        <f aca="false">MAX(0,B33+C33-D33)</f>
        <v>44605.5037645238</v>
      </c>
      <c r="G33" s="26" t="n">
        <f aca="false">J32</f>
        <v>70342.1661361005</v>
      </c>
      <c r="H33" s="26" t="n">
        <f aca="false">G33*$B$7</f>
        <v>428.169706915394</v>
      </c>
      <c r="I33" s="26" t="n">
        <f aca="false">MIN(G33+H33,$B$3)</f>
        <v>2700</v>
      </c>
      <c r="J33" s="26" t="n">
        <f aca="false">MAX(0,G33+H33-I33)</f>
        <v>68070.3358430159</v>
      </c>
    </row>
    <row r="34" customFormat="false" ht="15" hidden="false" customHeight="false" outlineLevel="0" collapsed="false">
      <c r="A34" s="12" t="n">
        <v>23</v>
      </c>
      <c r="B34" s="11" t="n">
        <f aca="false">E33</f>
        <v>44605.5037645238</v>
      </c>
      <c r="C34" s="11" t="n">
        <f aca="false">B34*$B$7</f>
        <v>271.511762044927</v>
      </c>
      <c r="D34" s="11" t="n">
        <f aca="false">MIN(B34+C34,$B$5)</f>
        <v>3700</v>
      </c>
      <c r="E34" s="11" t="n">
        <f aca="false">MAX(0,B34+C34-D34)</f>
        <v>41177.0155265687</v>
      </c>
      <c r="G34" s="11" t="n">
        <f aca="false">J33</f>
        <v>68070.3358430159</v>
      </c>
      <c r="H34" s="11" t="n">
        <f aca="false">G34*$B$7</f>
        <v>414.341174696619</v>
      </c>
      <c r="I34" s="11" t="n">
        <f aca="false">MIN(G34+H34,$B$3)</f>
        <v>2700</v>
      </c>
      <c r="J34" s="11" t="n">
        <f aca="false">MAX(0,G34+H34-I34)</f>
        <v>65784.6770177125</v>
      </c>
    </row>
    <row r="35" customFormat="false" ht="15" hidden="false" customHeight="false" outlineLevel="0" collapsed="false">
      <c r="A35" s="25" t="n">
        <v>24</v>
      </c>
      <c r="B35" s="26" t="n">
        <f aca="false">E34</f>
        <v>41177.0155265687</v>
      </c>
      <c r="C35" s="26" t="n">
        <f aca="false">B35*$B$7</f>
        <v>250.642703205201</v>
      </c>
      <c r="D35" s="26" t="n">
        <f aca="false">MIN(B35+C35,$B$5)</f>
        <v>3700</v>
      </c>
      <c r="E35" s="26" t="n">
        <f aca="false">MAX(0,B35+C35-D35)</f>
        <v>37727.6582297739</v>
      </c>
      <c r="G35" s="26" t="n">
        <f aca="false">J34</f>
        <v>65784.6770177125</v>
      </c>
      <c r="H35" s="26" t="n">
        <f aca="false">G35*$B$7</f>
        <v>400.428468803468</v>
      </c>
      <c r="I35" s="26" t="n">
        <f aca="false">MIN(G35+H35,$B$3)</f>
        <v>2700</v>
      </c>
      <c r="J35" s="26" t="n">
        <f aca="false">MAX(0,G35+H35-I35)</f>
        <v>63485.105486516</v>
      </c>
    </row>
    <row r="36" customFormat="false" ht="15" hidden="false" customHeight="false" outlineLevel="0" collapsed="false">
      <c r="A36" s="12" t="n">
        <v>25</v>
      </c>
      <c r="B36" s="11" t="n">
        <f aca="false">E35</f>
        <v>37727.6582297739</v>
      </c>
      <c r="C36" s="11" t="n">
        <f aca="false">B36*$B$7</f>
        <v>229.646615311667</v>
      </c>
      <c r="D36" s="11" t="n">
        <f aca="false">MIN(B36+C36,$B$5)</f>
        <v>3700</v>
      </c>
      <c r="E36" s="11" t="n">
        <f aca="false">MAX(0,B36+C36-D36)</f>
        <v>34257.3048450856</v>
      </c>
      <c r="G36" s="11" t="n">
        <f aca="false">J35</f>
        <v>63485.105486516</v>
      </c>
      <c r="H36" s="11" t="n">
        <f aca="false">G36*$B$7</f>
        <v>386.431076874445</v>
      </c>
      <c r="I36" s="11" t="n">
        <f aca="false">MIN(G36+H36,$B$3)</f>
        <v>2700</v>
      </c>
      <c r="J36" s="11" t="n">
        <f aca="false">MAX(0,G36+H36-I36)</f>
        <v>61171.5365633904</v>
      </c>
    </row>
    <row r="37" customFormat="false" ht="15" hidden="false" customHeight="false" outlineLevel="0" collapsed="false">
      <c r="A37" s="25" t="n">
        <v>26</v>
      </c>
      <c r="B37" s="26" t="n">
        <f aca="false">E36</f>
        <v>34257.3048450856</v>
      </c>
      <c r="C37" s="26" t="n">
        <f aca="false">B37*$B$7</f>
        <v>208.522725143999</v>
      </c>
      <c r="D37" s="26" t="n">
        <f aca="false">MIN(B37+C37,$B$5)</f>
        <v>3700</v>
      </c>
      <c r="E37" s="26" t="n">
        <f aca="false">MAX(0,B37+C37-D37)</f>
        <v>30765.8275702296</v>
      </c>
      <c r="G37" s="26" t="n">
        <f aca="false">J36</f>
        <v>61171.5365633904</v>
      </c>
      <c r="H37" s="26" t="n">
        <f aca="false">G37*$B$7</f>
        <v>372.348483429333</v>
      </c>
      <c r="I37" s="26" t="n">
        <f aca="false">MIN(G37+H37,$B$3)</f>
        <v>2700</v>
      </c>
      <c r="J37" s="26" t="n">
        <f aca="false">MAX(0,G37+H37-I37)</f>
        <v>58843.8850468198</v>
      </c>
    </row>
    <row r="38" customFormat="false" ht="15" hidden="false" customHeight="false" outlineLevel="0" collapsed="false">
      <c r="A38" s="12" t="n">
        <v>27</v>
      </c>
      <c r="B38" s="11" t="n">
        <f aca="false">E37</f>
        <v>30765.8275702296</v>
      </c>
      <c r="C38" s="11" t="n">
        <f aca="false">B38*$B$7</f>
        <v>187.270254775311</v>
      </c>
      <c r="D38" s="11" t="n">
        <f aca="false">MIN(B38+C38,$B$5)</f>
        <v>3700</v>
      </c>
      <c r="E38" s="11" t="n">
        <f aca="false">MAX(0,B38+C38-D38)</f>
        <v>27253.0978250049</v>
      </c>
      <c r="G38" s="11" t="n">
        <f aca="false">J37</f>
        <v>58843.8850468198</v>
      </c>
      <c r="H38" s="11" t="n">
        <f aca="false">G38*$B$7</f>
        <v>358.180169850207</v>
      </c>
      <c r="I38" s="11" t="n">
        <f aca="false">MIN(G38+H38,$B$3)</f>
        <v>2700</v>
      </c>
      <c r="J38" s="11" t="n">
        <f aca="false">MAX(0,G38+H38-I38)</f>
        <v>56502.06521667</v>
      </c>
    </row>
    <row r="39" customFormat="false" ht="15" hidden="false" customHeight="false" outlineLevel="0" collapsed="false">
      <c r="A39" s="25" t="n">
        <v>28</v>
      </c>
      <c r="B39" s="26" t="n">
        <f aca="false">E38</f>
        <v>27253.0978250049</v>
      </c>
      <c r="C39" s="26" t="n">
        <f aca="false">B39*$B$7</f>
        <v>165.888421543508</v>
      </c>
      <c r="D39" s="26" t="n">
        <f aca="false">MIN(B39+C39,$B$5)</f>
        <v>3700</v>
      </c>
      <c r="E39" s="26" t="n">
        <f aca="false">MAX(0,B39+C39-D39)</f>
        <v>23718.9862465484</v>
      </c>
      <c r="G39" s="26" t="n">
        <f aca="false">J38</f>
        <v>56502.06521667</v>
      </c>
      <c r="H39" s="26" t="n">
        <f aca="false">G39*$B$7</f>
        <v>343.925614362339</v>
      </c>
      <c r="I39" s="26" t="n">
        <f aca="false">MIN(G39+H39,$B$3)</f>
        <v>2700</v>
      </c>
      <c r="J39" s="26" t="n">
        <f aca="false">MAX(0,G39+H39-I39)</f>
        <v>54145.9908310323</v>
      </c>
    </row>
    <row r="40" customFormat="false" ht="15" hidden="false" customHeight="false" outlineLevel="0" collapsed="false">
      <c r="A40" s="12" t="n">
        <v>29</v>
      </c>
      <c r="B40" s="11" t="n">
        <f aca="false">E39</f>
        <v>23718.9862465484</v>
      </c>
      <c r="C40" s="11" t="n">
        <f aca="false">B40*$B$7</f>
        <v>144.376438022469</v>
      </c>
      <c r="D40" s="11" t="n">
        <f aca="false">MIN(B40+C40,$B$5)</f>
        <v>3700</v>
      </c>
      <c r="E40" s="11" t="n">
        <f aca="false">MAX(0,B40+C40-D40)</f>
        <v>20163.3626845709</v>
      </c>
      <c r="G40" s="11" t="n">
        <f aca="false">J39</f>
        <v>54145.9908310323</v>
      </c>
      <c r="H40" s="11" t="n">
        <f aca="false">G40*$B$7</f>
        <v>329.584292014979</v>
      </c>
      <c r="I40" s="11" t="n">
        <f aca="false">MIN(G40+H40,$B$3)</f>
        <v>2700</v>
      </c>
      <c r="J40" s="11" t="n">
        <f aca="false">MAX(0,G40+H40-I40)</f>
        <v>51775.5751230473</v>
      </c>
    </row>
    <row r="41" customFormat="false" ht="15" hidden="false" customHeight="false" outlineLevel="0" collapsed="false">
      <c r="A41" s="25" t="n">
        <v>30</v>
      </c>
      <c r="B41" s="26" t="n">
        <f aca="false">E40</f>
        <v>20163.3626845709</v>
      </c>
      <c r="C41" s="26" t="n">
        <f aca="false">B41*$B$7</f>
        <v>122.73351199304</v>
      </c>
      <c r="D41" s="26" t="n">
        <f aca="false">MIN(B41+C41,$B$5)</f>
        <v>3700</v>
      </c>
      <c r="E41" s="26" t="n">
        <f aca="false">MAX(0,B41+C41-D41)</f>
        <v>16586.0961965639</v>
      </c>
      <c r="G41" s="26" t="n">
        <f aca="false">J40</f>
        <v>51775.5751230473</v>
      </c>
      <c r="H41" s="26" t="n">
        <f aca="false">G41*$B$7</f>
        <v>315.155674662027</v>
      </c>
      <c r="I41" s="26" t="n">
        <f aca="false">MIN(G41+H41,$B$3)</f>
        <v>2700</v>
      </c>
      <c r="J41" s="26" t="n">
        <f aca="false">MAX(0,G41+H41-I41)</f>
        <v>49390.7307977093</v>
      </c>
    </row>
    <row r="42" customFormat="false" ht="15" hidden="false" customHeight="false" outlineLevel="0" collapsed="false">
      <c r="A42" s="12" t="n">
        <v>31</v>
      </c>
      <c r="B42" s="11" t="n">
        <f aca="false">E41</f>
        <v>16586.0961965639</v>
      </c>
      <c r="C42" s="11" t="n">
        <f aca="false">B42*$B$7</f>
        <v>100.958846413867</v>
      </c>
      <c r="D42" s="11" t="n">
        <f aca="false">MIN(B42+C42,$B$5)</f>
        <v>3700</v>
      </c>
      <c r="E42" s="11" t="n">
        <f aca="false">MAX(0,B42+C42-D42)</f>
        <v>12987.0550429778</v>
      </c>
      <c r="G42" s="11" t="n">
        <f aca="false">J41</f>
        <v>49390.7307977093</v>
      </c>
      <c r="H42" s="11" t="n">
        <f aca="false">G42*$B$7</f>
        <v>300.639230942579</v>
      </c>
      <c r="I42" s="11" t="n">
        <f aca="false">MIN(G42+H42,$B$3)</f>
        <v>2700</v>
      </c>
      <c r="J42" s="11" t="n">
        <f aca="false">MAX(0,G42+H42-I42)</f>
        <v>46991.3700286519</v>
      </c>
    </row>
    <row r="43" customFormat="false" ht="15" hidden="false" customHeight="false" outlineLevel="0" collapsed="false">
      <c r="A43" s="25" t="n">
        <v>32</v>
      </c>
      <c r="B43" s="26" t="n">
        <f aca="false">E42</f>
        <v>12987.0550429778</v>
      </c>
      <c r="C43" s="26" t="n">
        <f aca="false">B43*$B$7</f>
        <v>79.0516393920387</v>
      </c>
      <c r="D43" s="26" t="n">
        <f aca="false">MIN(B43+C43,$B$5)</f>
        <v>3700</v>
      </c>
      <c r="E43" s="26" t="n">
        <f aca="false">MAX(0,B43+C43-D43)</f>
        <v>9366.10668236983</v>
      </c>
      <c r="G43" s="26" t="n">
        <f aca="false">J42</f>
        <v>46991.3700286519</v>
      </c>
      <c r="H43" s="26" t="n">
        <f aca="false">G43*$B$7</f>
        <v>286.034426261359</v>
      </c>
      <c r="I43" s="26" t="n">
        <f aca="false">MIN(G43+H43,$B$3)</f>
        <v>2700</v>
      </c>
      <c r="J43" s="26" t="n">
        <f aca="false">MAX(0,G43+H43-I43)</f>
        <v>44577.4044549133</v>
      </c>
    </row>
    <row r="44" customFormat="false" ht="15" hidden="false" customHeight="false" outlineLevel="0" collapsed="false">
      <c r="A44" s="12" t="n">
        <v>33</v>
      </c>
      <c r="B44" s="11" t="n">
        <f aca="false">E43</f>
        <v>9366.10668236983</v>
      </c>
      <c r="C44" s="11" t="n">
        <f aca="false">B44*$B$7</f>
        <v>57.0110841535555</v>
      </c>
      <c r="D44" s="11" t="n">
        <f aca="false">MIN(B44+C44,$B$5)</f>
        <v>3700</v>
      </c>
      <c r="E44" s="11" t="n">
        <f aca="false">MAX(0,B44+C44-D44)</f>
        <v>5723.11776652338</v>
      </c>
      <c r="G44" s="11" t="n">
        <f aca="false">J43</f>
        <v>44577.4044549133</v>
      </c>
      <c r="H44" s="11" t="n">
        <f aca="false">G44*$B$7</f>
        <v>271.340722769037</v>
      </c>
      <c r="I44" s="11" t="n">
        <f aca="false">MIN(G44+H44,$B$3)</f>
        <v>2700</v>
      </c>
      <c r="J44" s="11" t="n">
        <f aca="false">MAX(0,G44+H44-I44)</f>
        <v>42148.7451776823</v>
      </c>
    </row>
    <row r="45" customFormat="false" ht="15" hidden="false" customHeight="false" outlineLevel="0" collapsed="false">
      <c r="A45" s="25" t="n">
        <v>34</v>
      </c>
      <c r="B45" s="26" t="n">
        <f aca="false">E44</f>
        <v>5723.11776652338</v>
      </c>
      <c r="C45" s="26" t="n">
        <f aca="false">B45*$B$7</f>
        <v>34.8363690136206</v>
      </c>
      <c r="D45" s="26" t="n">
        <f aca="false">MIN(B45+C45,$B$5)</f>
        <v>3700</v>
      </c>
      <c r="E45" s="26" t="n">
        <f aca="false">MAX(0,B45+C45-D45)</f>
        <v>2057.954135537</v>
      </c>
      <c r="G45" s="26" t="n">
        <f aca="false">J44</f>
        <v>42148.7451776823</v>
      </c>
      <c r="H45" s="26" t="n">
        <f aca="false">G45*$B$7</f>
        <v>256.557579342414</v>
      </c>
      <c r="I45" s="26" t="n">
        <f aca="false">MIN(G45+H45,$B$3)</f>
        <v>2700</v>
      </c>
      <c r="J45" s="26" t="n">
        <f aca="false">MAX(0,G45+H45-I45)</f>
        <v>39705.3027570247</v>
      </c>
    </row>
    <row r="46" customFormat="false" ht="15" hidden="false" customHeight="false" outlineLevel="0" collapsed="false">
      <c r="A46" s="12" t="n">
        <v>35</v>
      </c>
      <c r="B46" s="11" t="n">
        <f aca="false">E45</f>
        <v>2057.954135537</v>
      </c>
      <c r="C46" s="11" t="n">
        <f aca="false">B46*$B$7</f>
        <v>12.526677346747</v>
      </c>
      <c r="D46" s="11" t="n">
        <f aca="false">MIN(B46+C46,$B$5)</f>
        <v>2070.48081288375</v>
      </c>
      <c r="E46" s="11" t="n">
        <f aca="false">MAX(0,B46+C46-D46)</f>
        <v>0</v>
      </c>
      <c r="G46" s="11" t="n">
        <f aca="false">J45</f>
        <v>39705.3027570247</v>
      </c>
      <c r="H46" s="11" t="n">
        <f aca="false">G46*$B$7</f>
        <v>241.684451564498</v>
      </c>
      <c r="I46" s="11" t="n">
        <f aca="false">MIN(G46+H46,$B$3)</f>
        <v>2700</v>
      </c>
      <c r="J46" s="11" t="n">
        <f aca="false">MAX(0,G46+H46-I46)</f>
        <v>37246.9872085892</v>
      </c>
    </row>
    <row r="47" customFormat="false" ht="15" hidden="false" customHeight="false" outlineLevel="0" collapsed="false">
      <c r="A47" s="25" t="n">
        <v>36</v>
      </c>
      <c r="B47" s="26" t="n">
        <f aca="false">E46</f>
        <v>0</v>
      </c>
      <c r="C47" s="26" t="n">
        <f aca="false">B47*$B$7</f>
        <v>0</v>
      </c>
      <c r="D47" s="26" t="n">
        <f aca="false">MIN(B47+C47,$B$5)</f>
        <v>0</v>
      </c>
      <c r="E47" s="26" t="n">
        <f aca="false">MAX(0,B47+C47-D47)</f>
        <v>0</v>
      </c>
      <c r="G47" s="26" t="n">
        <f aca="false">J46</f>
        <v>37246.9872085892</v>
      </c>
      <c r="H47" s="26" t="n">
        <f aca="false">G47*$B$7</f>
        <v>226.720791704456</v>
      </c>
      <c r="I47" s="26" t="n">
        <f aca="false">MIN(G47+H47,$B$3)</f>
        <v>2700</v>
      </c>
      <c r="J47" s="26" t="n">
        <f aca="false">MAX(0,G47+H47-I47)</f>
        <v>34773.7080002937</v>
      </c>
    </row>
    <row r="48" customFormat="false" ht="15" hidden="false" customHeight="false" outlineLevel="0" collapsed="false">
      <c r="A48" s="12" t="n">
        <v>37</v>
      </c>
      <c r="B48" s="11" t="n">
        <f aca="false">E47</f>
        <v>0</v>
      </c>
      <c r="C48" s="11" t="n">
        <f aca="false">B48*$B$7</f>
        <v>0</v>
      </c>
      <c r="D48" s="11" t="n">
        <f aca="false">MIN(B48+C48,$B$5)</f>
        <v>0</v>
      </c>
      <c r="E48" s="11" t="n">
        <f aca="false">MAX(0,B48+C48-D48)</f>
        <v>0</v>
      </c>
      <c r="G48" s="11" t="n">
        <f aca="false">J47</f>
        <v>34773.7080002937</v>
      </c>
      <c r="H48" s="11" t="n">
        <f aca="false">G48*$B$7</f>
        <v>211.66604869744</v>
      </c>
      <c r="I48" s="11" t="n">
        <f aca="false">MIN(G48+H48,$B$3)</f>
        <v>2700</v>
      </c>
      <c r="J48" s="11" t="n">
        <f aca="false">MAX(0,G48+H48-I48)</f>
        <v>32285.3740489911</v>
      </c>
    </row>
    <row r="49" customFormat="false" ht="15" hidden="false" customHeight="false" outlineLevel="0" collapsed="false">
      <c r="A49" s="25" t="n">
        <v>38</v>
      </c>
      <c r="B49" s="26" t="n">
        <f aca="false">E48</f>
        <v>0</v>
      </c>
      <c r="C49" s="26" t="n">
        <f aca="false">B49*$B$7</f>
        <v>0</v>
      </c>
      <c r="D49" s="26" t="n">
        <f aca="false">MIN(B49+C49,$B$5)</f>
        <v>0</v>
      </c>
      <c r="E49" s="26" t="n">
        <f aca="false">MAX(0,B49+C49-D49)</f>
        <v>0</v>
      </c>
      <c r="G49" s="26" t="n">
        <f aca="false">J48</f>
        <v>32285.3740489911</v>
      </c>
      <c r="H49" s="26" t="n">
        <f aca="false">G49*$B$7</f>
        <v>196.519668124294</v>
      </c>
      <c r="I49" s="26" t="n">
        <f aca="false">MIN(G49+H49,$B$3)</f>
        <v>2700</v>
      </c>
      <c r="J49" s="26" t="n">
        <f aca="false">MAX(0,G49+H49-I49)</f>
        <v>29781.8937171154</v>
      </c>
    </row>
    <row r="50" customFormat="false" ht="15" hidden="false" customHeight="false" outlineLevel="0" collapsed="false">
      <c r="A50" s="12" t="n">
        <v>39</v>
      </c>
      <c r="B50" s="11" t="n">
        <f aca="false">E49</f>
        <v>0</v>
      </c>
      <c r="C50" s="11" t="n">
        <f aca="false">B50*$B$7</f>
        <v>0</v>
      </c>
      <c r="D50" s="11" t="n">
        <f aca="false">MIN(B50+C50,$B$5)</f>
        <v>0</v>
      </c>
      <c r="E50" s="11" t="n">
        <f aca="false">MAX(0,B50+C50-D50)</f>
        <v>0</v>
      </c>
      <c r="G50" s="11" t="n">
        <f aca="false">J49</f>
        <v>29781.8937171154</v>
      </c>
      <c r="H50" s="11" t="n">
        <f aca="false">G50*$B$7</f>
        <v>181.281092191137</v>
      </c>
      <c r="I50" s="11" t="n">
        <f aca="false">MIN(G50+H50,$B$3)</f>
        <v>2700</v>
      </c>
      <c r="J50" s="11" t="n">
        <f aca="false">MAX(0,G50+H50-I50)</f>
        <v>27263.1748093065</v>
      </c>
    </row>
    <row r="51" customFormat="false" ht="15" hidden="false" customHeight="false" outlineLevel="0" collapsed="false">
      <c r="A51" s="25" t="n">
        <v>40</v>
      </c>
      <c r="B51" s="26" t="n">
        <f aca="false">E50</f>
        <v>0</v>
      </c>
      <c r="C51" s="26" t="n">
        <f aca="false">B51*$B$7</f>
        <v>0</v>
      </c>
      <c r="D51" s="26" t="n">
        <f aca="false">MIN(B51+C51,$B$5)</f>
        <v>0</v>
      </c>
      <c r="E51" s="26" t="n">
        <f aca="false">MAX(0,B51+C51-D51)</f>
        <v>0</v>
      </c>
      <c r="G51" s="26" t="n">
        <f aca="false">J50</f>
        <v>27263.1748093065</v>
      </c>
      <c r="H51" s="26" t="n">
        <f aca="false">G51*$B$7</f>
        <v>165.949759708822</v>
      </c>
      <c r="I51" s="26" t="n">
        <f aca="false">MIN(G51+H51,$B$3)</f>
        <v>2700</v>
      </c>
      <c r="J51" s="26" t="n">
        <f aca="false">MAX(0,G51+H51-I51)</f>
        <v>24729.1245690154</v>
      </c>
    </row>
    <row r="52" customFormat="false" ht="15" hidden="false" customHeight="false" outlineLevel="0" collapsed="false">
      <c r="A52" s="12" t="n">
        <v>41</v>
      </c>
      <c r="B52" s="11" t="n">
        <f aca="false">E51</f>
        <v>0</v>
      </c>
      <c r="C52" s="11" t="n">
        <f aca="false">B52*$B$7</f>
        <v>0</v>
      </c>
      <c r="D52" s="11" t="n">
        <f aca="false">MIN(B52+C52,$B$5)</f>
        <v>0</v>
      </c>
      <c r="E52" s="11" t="n">
        <f aca="false">MAX(0,B52+C52-D52)</f>
        <v>0</v>
      </c>
      <c r="G52" s="11" t="n">
        <f aca="false">J51</f>
        <v>24729.1245690154</v>
      </c>
      <c r="H52" s="11" t="n">
        <f aca="false">G52*$B$7</f>
        <v>150.525106072267</v>
      </c>
      <c r="I52" s="11" t="n">
        <f aca="false">MIN(G52+H52,$B$3)</f>
        <v>2700</v>
      </c>
      <c r="J52" s="11" t="n">
        <f aca="false">MAX(0,G52+H52-I52)</f>
        <v>22179.6496750876</v>
      </c>
    </row>
    <row r="53" customFormat="false" ht="15" hidden="false" customHeight="false" outlineLevel="0" collapsed="false">
      <c r="A53" s="25" t="n">
        <v>42</v>
      </c>
      <c r="B53" s="26" t="n">
        <f aca="false">E52</f>
        <v>0</v>
      </c>
      <c r="C53" s="26" t="n">
        <f aca="false">B53*$B$7</f>
        <v>0</v>
      </c>
      <c r="D53" s="26" t="n">
        <f aca="false">MIN(B53+C53,$B$5)</f>
        <v>0</v>
      </c>
      <c r="E53" s="26" t="n">
        <f aca="false">MAX(0,B53+C53-D53)</f>
        <v>0</v>
      </c>
      <c r="G53" s="26" t="n">
        <f aca="false">J52</f>
        <v>22179.6496750876</v>
      </c>
      <c r="H53" s="26" t="n">
        <f aca="false">G53*$B$7</f>
        <v>135.006563239664</v>
      </c>
      <c r="I53" s="26" t="n">
        <f aca="false">MIN(G53+H53,$B$3)</f>
        <v>2700</v>
      </c>
      <c r="J53" s="26" t="n">
        <f aca="false">MAX(0,G53+H53-I53)</f>
        <v>19614.6562383273</v>
      </c>
    </row>
    <row r="54" customFormat="false" ht="15" hidden="false" customHeight="false" outlineLevel="0" collapsed="false">
      <c r="A54" s="12" t="n">
        <v>43</v>
      </c>
      <c r="B54" s="11" t="n">
        <f aca="false">E53</f>
        <v>0</v>
      </c>
      <c r="C54" s="11" t="n">
        <f aca="false">B54*$B$7</f>
        <v>0</v>
      </c>
      <c r="D54" s="11" t="n">
        <f aca="false">MIN(B54+C54,$B$5)</f>
        <v>0</v>
      </c>
      <c r="E54" s="11" t="n">
        <f aca="false">MAX(0,B54+C54-D54)</f>
        <v>0</v>
      </c>
      <c r="G54" s="11" t="n">
        <f aca="false">J53</f>
        <v>19614.6562383273</v>
      </c>
      <c r="H54" s="11" t="n">
        <f aca="false">G54*$B$7</f>
        <v>119.393559711557</v>
      </c>
      <c r="I54" s="11" t="n">
        <f aca="false">MIN(G54+H54,$B$3)</f>
        <v>2700</v>
      </c>
      <c r="J54" s="11" t="n">
        <f aca="false">MAX(0,G54+H54-I54)</f>
        <v>17034.0497980389</v>
      </c>
    </row>
    <row r="55" customFormat="false" ht="15" hidden="false" customHeight="false" outlineLevel="0" collapsed="false">
      <c r="A55" s="25" t="n">
        <v>44</v>
      </c>
      <c r="B55" s="26" t="n">
        <f aca="false">E54</f>
        <v>0</v>
      </c>
      <c r="C55" s="26" t="n">
        <f aca="false">B55*$B$7</f>
        <v>0</v>
      </c>
      <c r="D55" s="26" t="n">
        <f aca="false">MIN(B55+C55,$B$5)</f>
        <v>0</v>
      </c>
      <c r="E55" s="26" t="n">
        <f aca="false">MAX(0,B55+C55-D55)</f>
        <v>0</v>
      </c>
      <c r="G55" s="26" t="n">
        <f aca="false">J54</f>
        <v>17034.0497980389</v>
      </c>
      <c r="H55" s="26" t="n">
        <f aca="false">G55*$B$7</f>
        <v>103.685520509802</v>
      </c>
      <c r="I55" s="26" t="n">
        <f aca="false">MIN(G55+H55,$B$3)</f>
        <v>2700</v>
      </c>
      <c r="J55" s="26" t="n">
        <f aca="false">MAX(0,G55+H55-I55)</f>
        <v>14437.7353185487</v>
      </c>
    </row>
    <row r="56" customFormat="false" ht="15" hidden="false" customHeight="false" outlineLevel="0" collapsed="false">
      <c r="A56" s="12" t="n">
        <v>45</v>
      </c>
      <c r="B56" s="11" t="n">
        <f aca="false">E55</f>
        <v>0</v>
      </c>
      <c r="C56" s="11" t="n">
        <f aca="false">B56*$B$7</f>
        <v>0</v>
      </c>
      <c r="D56" s="11" t="n">
        <f aca="false">MIN(B56+C56,$B$5)</f>
        <v>0</v>
      </c>
      <c r="E56" s="11" t="n">
        <f aca="false">MAX(0,B56+C56-D56)</f>
        <v>0</v>
      </c>
      <c r="G56" s="11" t="n">
        <f aca="false">J55</f>
        <v>14437.7353185487</v>
      </c>
      <c r="H56" s="11" t="n">
        <f aca="false">G56*$B$7</f>
        <v>87.8818671563831</v>
      </c>
      <c r="I56" s="11" t="n">
        <f aca="false">MIN(G56+H56,$B$3)</f>
        <v>2700</v>
      </c>
      <c r="J56" s="11" t="n">
        <f aca="false">MAX(0,G56+H56-I56)</f>
        <v>11825.617185705</v>
      </c>
    </row>
    <row r="57" customFormat="false" ht="15" hidden="false" customHeight="false" outlineLevel="0" collapsed="false">
      <c r="A57" s="25" t="n">
        <v>46</v>
      </c>
      <c r="B57" s="26" t="n">
        <f aca="false">E56</f>
        <v>0</v>
      </c>
      <c r="C57" s="26" t="n">
        <f aca="false">B57*$B$7</f>
        <v>0</v>
      </c>
      <c r="D57" s="26" t="n">
        <f aca="false">MIN(B57+C57,$B$5)</f>
        <v>0</v>
      </c>
      <c r="E57" s="26" t="n">
        <f aca="false">MAX(0,B57+C57-D57)</f>
        <v>0</v>
      </c>
      <c r="G57" s="26" t="n">
        <f aca="false">J56</f>
        <v>11825.617185705</v>
      </c>
      <c r="H57" s="26" t="n">
        <f aca="false">G57*$B$7</f>
        <v>71.9820176521176</v>
      </c>
      <c r="I57" s="26" t="n">
        <f aca="false">MIN(G57+H57,$B$3)</f>
        <v>2700</v>
      </c>
      <c r="J57" s="26" t="n">
        <f aca="false">MAX(0,G57+H57-I57)</f>
        <v>9197.59920335715</v>
      </c>
    </row>
    <row r="58" customFormat="false" ht="15" hidden="false" customHeight="false" outlineLevel="0" collapsed="false">
      <c r="A58" s="12" t="n">
        <v>47</v>
      </c>
      <c r="B58" s="11" t="n">
        <f aca="false">E57</f>
        <v>0</v>
      </c>
      <c r="C58" s="11" t="n">
        <f aca="false">B58*$B$7</f>
        <v>0</v>
      </c>
      <c r="D58" s="11" t="n">
        <f aca="false">MIN(B58+C58,$B$5)</f>
        <v>0</v>
      </c>
      <c r="E58" s="11" t="n">
        <f aca="false">MAX(0,B58+C58-D58)</f>
        <v>0</v>
      </c>
      <c r="G58" s="11" t="n">
        <f aca="false">J57</f>
        <v>9197.59920335715</v>
      </c>
      <c r="H58" s="11" t="n">
        <f aca="false">G58*$B$7</f>
        <v>55.9853864552175</v>
      </c>
      <c r="I58" s="11" t="n">
        <f aca="false">MIN(G58+H58,$B$3)</f>
        <v>2700</v>
      </c>
      <c r="J58" s="11" t="n">
        <f aca="false">MAX(0,G58+H58-I58)</f>
        <v>6553.58458981237</v>
      </c>
    </row>
    <row r="59" customFormat="false" ht="15" hidden="false" customHeight="false" outlineLevel="0" collapsed="false">
      <c r="A59" s="25" t="n">
        <v>48</v>
      </c>
      <c r="B59" s="26" t="n">
        <f aca="false">E58</f>
        <v>0</v>
      </c>
      <c r="C59" s="26" t="n">
        <f aca="false">B59*$B$7</f>
        <v>0</v>
      </c>
      <c r="D59" s="26" t="n">
        <f aca="false">MIN(B59+C59,$B$5)</f>
        <v>0</v>
      </c>
      <c r="E59" s="26" t="n">
        <f aca="false">MAX(0,B59+C59-D59)</f>
        <v>0</v>
      </c>
      <c r="G59" s="26" t="n">
        <f aca="false">J58</f>
        <v>6553.58458981237</v>
      </c>
      <c r="H59" s="26" t="n">
        <f aca="false">G59*$B$7</f>
        <v>39.8913844597275</v>
      </c>
      <c r="I59" s="26" t="n">
        <f aca="false">MIN(G59+H59,$B$3)</f>
        <v>2700</v>
      </c>
      <c r="J59" s="26" t="n">
        <f aca="false">MAX(0,G59+H59-I59)</f>
        <v>3893.4759742721</v>
      </c>
    </row>
    <row r="60" customFormat="false" ht="15" hidden="false" customHeight="false" outlineLevel="0" collapsed="false">
      <c r="A60" s="12" t="n">
        <v>49</v>
      </c>
      <c r="B60" s="11" t="n">
        <f aca="false">E59</f>
        <v>0</v>
      </c>
      <c r="C60" s="11" t="n">
        <f aca="false">B60*$B$7</f>
        <v>0</v>
      </c>
      <c r="D60" s="11" t="n">
        <f aca="false">MIN(B60+C60,$B$5)</f>
        <v>0</v>
      </c>
      <c r="E60" s="11" t="n">
        <f aca="false">MAX(0,B60+C60-D60)</f>
        <v>0</v>
      </c>
      <c r="G60" s="11" t="n">
        <f aca="false">J59</f>
        <v>3893.4759742721</v>
      </c>
      <c r="H60" s="11" t="n">
        <f aca="false">G60*$B$7</f>
        <v>23.6994189738302</v>
      </c>
      <c r="I60" s="11" t="n">
        <f aca="false">MIN(G60+H60,$B$3)</f>
        <v>2700</v>
      </c>
      <c r="J60" s="11" t="n">
        <f aca="false">MAX(0,G60+H60-I60)</f>
        <v>1217.17539324593</v>
      </c>
    </row>
    <row r="61" customFormat="false" ht="15" hidden="false" customHeight="false" outlineLevel="0" collapsed="false">
      <c r="A61" s="25" t="n">
        <v>50</v>
      </c>
      <c r="B61" s="26" t="n">
        <f aca="false">E60</f>
        <v>0</v>
      </c>
      <c r="C61" s="26" t="n">
        <f aca="false">B61*$B$7</f>
        <v>0</v>
      </c>
      <c r="D61" s="26" t="n">
        <f aca="false">MIN(B61+C61,$B$5)</f>
        <v>0</v>
      </c>
      <c r="E61" s="26" t="n">
        <f aca="false">MAX(0,B61+C61-D61)</f>
        <v>0</v>
      </c>
      <c r="G61" s="26" t="n">
        <f aca="false">J60</f>
        <v>1217.17539324593</v>
      </c>
      <c r="H61" s="26" t="n">
        <f aca="false">G61*$B$7</f>
        <v>7.40889369801869</v>
      </c>
      <c r="I61" s="26" t="n">
        <f aca="false">MIN(G61+H61,$B$3)</f>
        <v>1224.58428694395</v>
      </c>
      <c r="J61" s="26" t="n">
        <f aca="false">MAX(0,G61+H61-I61)</f>
        <v>0</v>
      </c>
    </row>
    <row r="62" customFormat="false" ht="15" hidden="false" customHeight="false" outlineLevel="0" collapsed="false">
      <c r="A62" s="12" t="n">
        <v>51</v>
      </c>
      <c r="B62" s="11" t="n">
        <f aca="false">E61</f>
        <v>0</v>
      </c>
      <c r="C62" s="11" t="n">
        <f aca="false">B62*$B$7</f>
        <v>0</v>
      </c>
      <c r="D62" s="11" t="n">
        <f aca="false">MIN(B62+C62,$B$5)</f>
        <v>0</v>
      </c>
      <c r="E62" s="11" t="n">
        <f aca="false">MAX(0,B62+C62-D62)</f>
        <v>0</v>
      </c>
      <c r="G62" s="11" t="n">
        <f aca="false">J61</f>
        <v>0</v>
      </c>
      <c r="H62" s="11" t="n">
        <f aca="false">G62*$B$7</f>
        <v>0</v>
      </c>
      <c r="I62" s="11" t="n">
        <f aca="false">MIN(G62+H62,$B$3)</f>
        <v>0</v>
      </c>
      <c r="J62" s="11" t="n">
        <f aca="false">MAX(0,G62+H62-I62)</f>
        <v>0</v>
      </c>
    </row>
    <row r="63" customFormat="false" ht="15" hidden="false" customHeight="false" outlineLevel="0" collapsed="false">
      <c r="A63" s="25" t="n">
        <v>52</v>
      </c>
      <c r="B63" s="26" t="n">
        <f aca="false">E62</f>
        <v>0</v>
      </c>
      <c r="C63" s="26" t="n">
        <f aca="false">B63*$B$7</f>
        <v>0</v>
      </c>
      <c r="D63" s="26" t="n">
        <f aca="false">MIN(B63+C63,$B$5)</f>
        <v>0</v>
      </c>
      <c r="E63" s="26" t="n">
        <f aca="false">MAX(0,B63+C63-D63)</f>
        <v>0</v>
      </c>
      <c r="G63" s="26" t="n">
        <f aca="false">J62</f>
        <v>0</v>
      </c>
      <c r="H63" s="26" t="n">
        <f aca="false">G63*$B$7</f>
        <v>0</v>
      </c>
      <c r="I63" s="26" t="n">
        <f aca="false">MIN(G63+H63,$B$3)</f>
        <v>0</v>
      </c>
      <c r="J63" s="26" t="n">
        <f aca="false">MAX(0,G63+H63-I63)</f>
        <v>0</v>
      </c>
    </row>
    <row r="64" customFormat="false" ht="15" hidden="false" customHeight="false" outlineLevel="0" collapsed="false">
      <c r="A64" s="12" t="n">
        <v>53</v>
      </c>
      <c r="B64" s="11" t="n">
        <f aca="false">E63</f>
        <v>0</v>
      </c>
      <c r="C64" s="11" t="n">
        <f aca="false">B64*$B$7</f>
        <v>0</v>
      </c>
      <c r="D64" s="11" t="n">
        <f aca="false">MIN(B64+C64,$B$5)</f>
        <v>0</v>
      </c>
      <c r="E64" s="11" t="n">
        <f aca="false">MAX(0,B64+C64-D64)</f>
        <v>0</v>
      </c>
      <c r="G64" s="11" t="n">
        <f aca="false">J63</f>
        <v>0</v>
      </c>
      <c r="H64" s="11" t="n">
        <f aca="false">G64*$B$7</f>
        <v>0</v>
      </c>
      <c r="I64" s="11" t="n">
        <f aca="false">MIN(G64+H64,$B$3)</f>
        <v>0</v>
      </c>
      <c r="J64" s="11" t="n">
        <f aca="false">MAX(0,G64+H64-I64)</f>
        <v>0</v>
      </c>
    </row>
    <row r="65" customFormat="false" ht="15" hidden="false" customHeight="false" outlineLevel="0" collapsed="false">
      <c r="A65" s="25" t="n">
        <v>54</v>
      </c>
      <c r="B65" s="26" t="n">
        <f aca="false">E64</f>
        <v>0</v>
      </c>
      <c r="C65" s="26" t="n">
        <f aca="false">B65*$B$7</f>
        <v>0</v>
      </c>
      <c r="D65" s="26" t="n">
        <f aca="false">MIN(B65+C65,$B$5)</f>
        <v>0</v>
      </c>
      <c r="E65" s="26" t="n">
        <f aca="false">MAX(0,B65+C65-D65)</f>
        <v>0</v>
      </c>
      <c r="G65" s="26" t="n">
        <f aca="false">J64</f>
        <v>0</v>
      </c>
      <c r="H65" s="26" t="n">
        <f aca="false">G65*$B$7</f>
        <v>0</v>
      </c>
      <c r="I65" s="26" t="n">
        <f aca="false">MIN(G65+H65,$B$3)</f>
        <v>0</v>
      </c>
      <c r="J65" s="26" t="n">
        <f aca="false">MAX(0,G65+H65-I65)</f>
        <v>0</v>
      </c>
    </row>
    <row r="66" customFormat="false" ht="15" hidden="false" customHeight="false" outlineLevel="0" collapsed="false">
      <c r="A66" s="12" t="n">
        <v>55</v>
      </c>
      <c r="B66" s="11" t="n">
        <f aca="false">E65</f>
        <v>0</v>
      </c>
      <c r="C66" s="11" t="n">
        <f aca="false">B66*$B$7</f>
        <v>0</v>
      </c>
      <c r="D66" s="11" t="n">
        <f aca="false">MIN(B66+C66,$B$5)</f>
        <v>0</v>
      </c>
      <c r="E66" s="11" t="n">
        <f aca="false">MAX(0,B66+C66-D66)</f>
        <v>0</v>
      </c>
      <c r="G66" s="11" t="n">
        <f aca="false">J65</f>
        <v>0</v>
      </c>
      <c r="H66" s="11" t="n">
        <f aca="false">G66*$B$7</f>
        <v>0</v>
      </c>
      <c r="I66" s="11" t="n">
        <f aca="false">MIN(G66+H66,$B$3)</f>
        <v>0</v>
      </c>
      <c r="J66" s="11" t="n">
        <f aca="false">MAX(0,G66+H66-I66)</f>
        <v>0</v>
      </c>
    </row>
    <row r="67" customFormat="false" ht="15" hidden="false" customHeight="false" outlineLevel="0" collapsed="false">
      <c r="A67" s="25" t="n">
        <v>56</v>
      </c>
      <c r="B67" s="26" t="n">
        <f aca="false">E66</f>
        <v>0</v>
      </c>
      <c r="C67" s="26" t="n">
        <f aca="false">B67*$B$7</f>
        <v>0</v>
      </c>
      <c r="D67" s="26" t="n">
        <f aca="false">MIN(B67+C67,$B$5)</f>
        <v>0</v>
      </c>
      <c r="E67" s="26" t="n">
        <f aca="false">MAX(0,B67+C67-D67)</f>
        <v>0</v>
      </c>
      <c r="G67" s="26" t="n">
        <f aca="false">J66</f>
        <v>0</v>
      </c>
      <c r="H67" s="26" t="n">
        <f aca="false">G67*$B$7</f>
        <v>0</v>
      </c>
      <c r="I67" s="26" t="n">
        <f aca="false">MIN(G67+H67,$B$3)</f>
        <v>0</v>
      </c>
      <c r="J67" s="26" t="n">
        <f aca="false">MAX(0,G67+H67-I67)</f>
        <v>0</v>
      </c>
    </row>
    <row r="68" customFormat="false" ht="15" hidden="false" customHeight="false" outlineLevel="0" collapsed="false">
      <c r="A68" s="12" t="n">
        <v>57</v>
      </c>
      <c r="B68" s="11" t="n">
        <f aca="false">E67</f>
        <v>0</v>
      </c>
      <c r="C68" s="11" t="n">
        <f aca="false">B68*$B$7</f>
        <v>0</v>
      </c>
      <c r="D68" s="11" t="n">
        <f aca="false">MIN(B68+C68,$B$5)</f>
        <v>0</v>
      </c>
      <c r="E68" s="11" t="n">
        <f aca="false">MAX(0,B68+C68-D68)</f>
        <v>0</v>
      </c>
      <c r="G68" s="11" t="n">
        <f aca="false">J67</f>
        <v>0</v>
      </c>
      <c r="H68" s="11" t="n">
        <f aca="false">G68*$B$7</f>
        <v>0</v>
      </c>
      <c r="I68" s="11" t="n">
        <f aca="false">MIN(G68+H68,$B$3)</f>
        <v>0</v>
      </c>
      <c r="J68" s="11" t="n">
        <f aca="false">MAX(0,G68+H68-I68)</f>
        <v>0</v>
      </c>
    </row>
    <row r="69" customFormat="false" ht="15" hidden="false" customHeight="false" outlineLevel="0" collapsed="false">
      <c r="A69" s="25" t="n">
        <v>58</v>
      </c>
      <c r="B69" s="26" t="n">
        <f aca="false">E68</f>
        <v>0</v>
      </c>
      <c r="C69" s="26" t="n">
        <f aca="false">B69*$B$7</f>
        <v>0</v>
      </c>
      <c r="D69" s="26" t="n">
        <f aca="false">MIN(B69+C69,$B$5)</f>
        <v>0</v>
      </c>
      <c r="E69" s="26" t="n">
        <f aca="false">MAX(0,B69+C69-D69)</f>
        <v>0</v>
      </c>
      <c r="G69" s="26" t="n">
        <f aca="false">J68</f>
        <v>0</v>
      </c>
      <c r="H69" s="26" t="n">
        <f aca="false">G69*$B$7</f>
        <v>0</v>
      </c>
      <c r="I69" s="26" t="n">
        <f aca="false">MIN(G69+H69,$B$3)</f>
        <v>0</v>
      </c>
      <c r="J69" s="26" t="n">
        <f aca="false">MAX(0,G69+H69-I69)</f>
        <v>0</v>
      </c>
    </row>
    <row r="70" customFormat="false" ht="15" hidden="false" customHeight="false" outlineLevel="0" collapsed="false">
      <c r="A70" s="12" t="n">
        <v>59</v>
      </c>
      <c r="B70" s="11" t="n">
        <f aca="false">E69</f>
        <v>0</v>
      </c>
      <c r="C70" s="11" t="n">
        <f aca="false">B70*$B$7</f>
        <v>0</v>
      </c>
      <c r="D70" s="11" t="n">
        <f aca="false">MIN(B70+C70,$B$5)</f>
        <v>0</v>
      </c>
      <c r="E70" s="11" t="n">
        <f aca="false">MAX(0,B70+C70-D70)</f>
        <v>0</v>
      </c>
      <c r="G70" s="11" t="n">
        <f aca="false">J69</f>
        <v>0</v>
      </c>
      <c r="H70" s="11" t="n">
        <f aca="false">G70*$B$7</f>
        <v>0</v>
      </c>
      <c r="I70" s="11" t="n">
        <f aca="false">MIN(G70+H70,$B$3)</f>
        <v>0</v>
      </c>
      <c r="J70" s="11" t="n">
        <f aca="false">MAX(0,G70+H70-I70)</f>
        <v>0</v>
      </c>
    </row>
    <row r="71" customFormat="false" ht="15" hidden="false" customHeight="false" outlineLevel="0" collapsed="false">
      <c r="A71" s="25" t="n">
        <v>60</v>
      </c>
      <c r="B71" s="26" t="n">
        <f aca="false">E70</f>
        <v>0</v>
      </c>
      <c r="C71" s="26" t="n">
        <f aca="false">B71*$B$7</f>
        <v>0</v>
      </c>
      <c r="D71" s="26" t="n">
        <f aca="false">MIN(B71+C71,$B$5)</f>
        <v>0</v>
      </c>
      <c r="E71" s="26" t="n">
        <f aca="false">MAX(0,B71+C71-D71)</f>
        <v>0</v>
      </c>
      <c r="G71" s="26" t="n">
        <f aca="false">J70</f>
        <v>0</v>
      </c>
      <c r="H71" s="26" t="n">
        <f aca="false">G71*$B$7</f>
        <v>0</v>
      </c>
      <c r="I71" s="26" t="n">
        <f aca="false">MIN(G71+H71,$B$3)</f>
        <v>0</v>
      </c>
      <c r="J71" s="26" t="n">
        <f aca="false">MAX(0,G71+H71-I71)</f>
        <v>0</v>
      </c>
    </row>
    <row r="72" customFormat="false" ht="15" hidden="false" customHeight="false" outlineLevel="0" collapsed="false">
      <c r="A72" s="12" t="n">
        <v>61</v>
      </c>
      <c r="B72" s="11" t="n">
        <f aca="false">E71</f>
        <v>0</v>
      </c>
      <c r="C72" s="11" t="n">
        <f aca="false">B72*$B$7</f>
        <v>0</v>
      </c>
      <c r="D72" s="11" t="n">
        <f aca="false">MIN(B72+C72,$B$5)</f>
        <v>0</v>
      </c>
      <c r="E72" s="11" t="n">
        <f aca="false">MAX(0,B72+C72-D72)</f>
        <v>0</v>
      </c>
      <c r="G72" s="11" t="n">
        <f aca="false">J71</f>
        <v>0</v>
      </c>
      <c r="H72" s="11" t="n">
        <f aca="false">G72*$B$7</f>
        <v>0</v>
      </c>
      <c r="I72" s="11" t="n">
        <f aca="false">MIN(G72+H72,$B$3)</f>
        <v>0</v>
      </c>
      <c r="J72" s="11" t="n">
        <f aca="false">MAX(0,G72+H72-I72)</f>
        <v>0</v>
      </c>
    </row>
    <row r="73" customFormat="false" ht="15" hidden="false" customHeight="false" outlineLevel="0" collapsed="false">
      <c r="A73" s="25" t="n">
        <v>62</v>
      </c>
      <c r="B73" s="26" t="n">
        <f aca="false">E72</f>
        <v>0</v>
      </c>
      <c r="C73" s="26" t="n">
        <f aca="false">B73*$B$7</f>
        <v>0</v>
      </c>
      <c r="D73" s="26" t="n">
        <f aca="false">MIN(B73+C73,$B$5)</f>
        <v>0</v>
      </c>
      <c r="E73" s="26" t="n">
        <f aca="false">MAX(0,B73+C73-D73)</f>
        <v>0</v>
      </c>
      <c r="G73" s="26" t="n">
        <f aca="false">J72</f>
        <v>0</v>
      </c>
      <c r="H73" s="26" t="n">
        <f aca="false">G73*$B$7</f>
        <v>0</v>
      </c>
      <c r="I73" s="26" t="n">
        <f aca="false">MIN(G73+H73,$B$3)</f>
        <v>0</v>
      </c>
      <c r="J73" s="26" t="n">
        <f aca="false">MAX(0,G73+H73-I73)</f>
        <v>0</v>
      </c>
    </row>
    <row r="74" customFormat="false" ht="15" hidden="false" customHeight="false" outlineLevel="0" collapsed="false">
      <c r="A74" s="12" t="n">
        <v>63</v>
      </c>
      <c r="B74" s="11" t="n">
        <f aca="false">E73</f>
        <v>0</v>
      </c>
      <c r="C74" s="11" t="n">
        <f aca="false">B74*$B$7</f>
        <v>0</v>
      </c>
      <c r="D74" s="11" t="n">
        <f aca="false">MIN(B74+C74,$B$5)</f>
        <v>0</v>
      </c>
      <c r="E74" s="11" t="n">
        <f aca="false">MAX(0,B74+C74-D74)</f>
        <v>0</v>
      </c>
      <c r="G74" s="11" t="n">
        <f aca="false">J73</f>
        <v>0</v>
      </c>
      <c r="H74" s="11" t="n">
        <f aca="false">G74*$B$7</f>
        <v>0</v>
      </c>
      <c r="I74" s="11" t="n">
        <f aca="false">MIN(G74+H74,$B$3)</f>
        <v>0</v>
      </c>
      <c r="J74" s="11" t="n">
        <f aca="false">MAX(0,G74+H74-I74)</f>
        <v>0</v>
      </c>
    </row>
    <row r="75" customFormat="false" ht="15" hidden="false" customHeight="false" outlineLevel="0" collapsed="false">
      <c r="A75" s="25" t="n">
        <v>64</v>
      </c>
      <c r="B75" s="26" t="n">
        <f aca="false">E74</f>
        <v>0</v>
      </c>
      <c r="C75" s="26" t="n">
        <f aca="false">B75*$B$7</f>
        <v>0</v>
      </c>
      <c r="D75" s="26" t="n">
        <f aca="false">MIN(B75+C75,$B$5)</f>
        <v>0</v>
      </c>
      <c r="E75" s="26" t="n">
        <f aca="false">MAX(0,B75+C75-D75)</f>
        <v>0</v>
      </c>
      <c r="G75" s="26" t="n">
        <f aca="false">J74</f>
        <v>0</v>
      </c>
      <c r="H75" s="26" t="n">
        <f aca="false">G75*$B$7</f>
        <v>0</v>
      </c>
      <c r="I75" s="26" t="n">
        <f aca="false">MIN(G75+H75,$B$3)</f>
        <v>0</v>
      </c>
      <c r="J75" s="26" t="n">
        <f aca="false">MAX(0,G75+H75-I75)</f>
        <v>0</v>
      </c>
    </row>
    <row r="76" customFormat="false" ht="15" hidden="false" customHeight="false" outlineLevel="0" collapsed="false">
      <c r="A76" s="12" t="n">
        <v>65</v>
      </c>
      <c r="B76" s="11" t="n">
        <f aca="false">E75</f>
        <v>0</v>
      </c>
      <c r="C76" s="11" t="n">
        <f aca="false">B76*$B$7</f>
        <v>0</v>
      </c>
      <c r="D76" s="11" t="n">
        <f aca="false">MIN(B76+C76,$B$5)</f>
        <v>0</v>
      </c>
      <c r="E76" s="11" t="n">
        <f aca="false">MAX(0,B76+C76-D76)</f>
        <v>0</v>
      </c>
      <c r="G76" s="11" t="n">
        <f aca="false">J75</f>
        <v>0</v>
      </c>
      <c r="H76" s="11" t="n">
        <f aca="false">G76*$B$7</f>
        <v>0</v>
      </c>
      <c r="I76" s="11" t="n">
        <f aca="false">MIN(G76+H76,$B$3)</f>
        <v>0</v>
      </c>
      <c r="J76" s="11" t="n">
        <f aca="false">MAX(0,G76+H76-I76)</f>
        <v>0</v>
      </c>
    </row>
    <row r="77" customFormat="false" ht="15" hidden="false" customHeight="false" outlineLevel="0" collapsed="false">
      <c r="A77" s="25" t="n">
        <v>66</v>
      </c>
      <c r="B77" s="26" t="n">
        <f aca="false">E76</f>
        <v>0</v>
      </c>
      <c r="C77" s="26" t="n">
        <f aca="false">B77*$B$7</f>
        <v>0</v>
      </c>
      <c r="D77" s="26" t="n">
        <f aca="false">MIN(B77+C77,$B$5)</f>
        <v>0</v>
      </c>
      <c r="E77" s="26" t="n">
        <f aca="false">MAX(0,B77+C77-D77)</f>
        <v>0</v>
      </c>
      <c r="G77" s="26" t="n">
        <f aca="false">J76</f>
        <v>0</v>
      </c>
      <c r="H77" s="26" t="n">
        <f aca="false">G77*$B$7</f>
        <v>0</v>
      </c>
      <c r="I77" s="26" t="n">
        <f aca="false">MIN(G77+H77,$B$3)</f>
        <v>0</v>
      </c>
      <c r="J77" s="26" t="n">
        <f aca="false">MAX(0,G77+H77-I77)</f>
        <v>0</v>
      </c>
    </row>
    <row r="78" customFormat="false" ht="15" hidden="false" customHeight="false" outlineLevel="0" collapsed="false">
      <c r="A78" s="12" t="n">
        <v>67</v>
      </c>
      <c r="B78" s="11" t="n">
        <f aca="false">E77</f>
        <v>0</v>
      </c>
      <c r="C78" s="11" t="n">
        <f aca="false">B78*$B$7</f>
        <v>0</v>
      </c>
      <c r="D78" s="11" t="n">
        <f aca="false">MIN(B78+C78,$B$5)</f>
        <v>0</v>
      </c>
      <c r="E78" s="11" t="n">
        <f aca="false">MAX(0,B78+C78-D78)</f>
        <v>0</v>
      </c>
      <c r="G78" s="11" t="n">
        <f aca="false">J77</f>
        <v>0</v>
      </c>
      <c r="H78" s="11" t="n">
        <f aca="false">G78*$B$7</f>
        <v>0</v>
      </c>
      <c r="I78" s="11" t="n">
        <f aca="false">MIN(G78+H78,$B$3)</f>
        <v>0</v>
      </c>
      <c r="J78" s="11" t="n">
        <f aca="false">MAX(0,G78+H78-I78)</f>
        <v>0</v>
      </c>
    </row>
    <row r="79" customFormat="false" ht="15" hidden="false" customHeight="false" outlineLevel="0" collapsed="false">
      <c r="A79" s="25" t="n">
        <v>68</v>
      </c>
      <c r="B79" s="26" t="n">
        <f aca="false">E78</f>
        <v>0</v>
      </c>
      <c r="C79" s="26" t="n">
        <f aca="false">B79*$B$7</f>
        <v>0</v>
      </c>
      <c r="D79" s="26" t="n">
        <f aca="false">MIN(B79+C79,$B$5)</f>
        <v>0</v>
      </c>
      <c r="E79" s="26" t="n">
        <f aca="false">MAX(0,B79+C79-D79)</f>
        <v>0</v>
      </c>
      <c r="G79" s="26" t="n">
        <f aca="false">J78</f>
        <v>0</v>
      </c>
      <c r="H79" s="26" t="n">
        <f aca="false">G79*$B$7</f>
        <v>0</v>
      </c>
      <c r="I79" s="26" t="n">
        <f aca="false">MIN(G79+H79,$B$3)</f>
        <v>0</v>
      </c>
      <c r="J79" s="26" t="n">
        <f aca="false">MAX(0,G79+H79-I79)</f>
        <v>0</v>
      </c>
    </row>
    <row r="80" customFormat="false" ht="15" hidden="false" customHeight="false" outlineLevel="0" collapsed="false">
      <c r="A80" s="12" t="n">
        <v>69</v>
      </c>
      <c r="B80" s="11" t="n">
        <f aca="false">E79</f>
        <v>0</v>
      </c>
      <c r="C80" s="11" t="n">
        <f aca="false">B80*$B$7</f>
        <v>0</v>
      </c>
      <c r="D80" s="11" t="n">
        <f aca="false">MIN(B80+C80,$B$5)</f>
        <v>0</v>
      </c>
      <c r="E80" s="11" t="n">
        <f aca="false">MAX(0,B80+C80-D80)</f>
        <v>0</v>
      </c>
      <c r="G80" s="11" t="n">
        <f aca="false">J79</f>
        <v>0</v>
      </c>
      <c r="H80" s="11" t="n">
        <f aca="false">G80*$B$7</f>
        <v>0</v>
      </c>
      <c r="I80" s="11" t="n">
        <f aca="false">MIN(G80+H80,$B$3)</f>
        <v>0</v>
      </c>
      <c r="J80" s="11" t="n">
        <f aca="false">MAX(0,G80+H80-I80)</f>
        <v>0</v>
      </c>
    </row>
    <row r="81" customFormat="false" ht="15" hidden="false" customHeight="false" outlineLevel="0" collapsed="false">
      <c r="A81" s="25" t="n">
        <v>70</v>
      </c>
      <c r="B81" s="26" t="n">
        <f aca="false">E80</f>
        <v>0</v>
      </c>
      <c r="C81" s="26" t="n">
        <f aca="false">B81*$B$7</f>
        <v>0</v>
      </c>
      <c r="D81" s="26" t="n">
        <f aca="false">MIN(B81+C81,$B$5)</f>
        <v>0</v>
      </c>
      <c r="E81" s="26" t="n">
        <f aca="false">MAX(0,B81+C81-D81)</f>
        <v>0</v>
      </c>
      <c r="G81" s="26" t="n">
        <f aca="false">J80</f>
        <v>0</v>
      </c>
      <c r="H81" s="26" t="n">
        <f aca="false">G81*$B$7</f>
        <v>0</v>
      </c>
      <c r="I81" s="26" t="n">
        <f aca="false">MIN(G81+H81,$B$3)</f>
        <v>0</v>
      </c>
      <c r="J81" s="26" t="n">
        <f aca="false">MAX(0,G81+H81-I81)</f>
        <v>0</v>
      </c>
    </row>
    <row r="82" customFormat="false" ht="15" hidden="false" customHeight="false" outlineLevel="0" collapsed="false">
      <c r="A82" s="12" t="n">
        <v>71</v>
      </c>
      <c r="B82" s="11" t="n">
        <f aca="false">E81</f>
        <v>0</v>
      </c>
      <c r="C82" s="11" t="n">
        <f aca="false">B82*$B$7</f>
        <v>0</v>
      </c>
      <c r="D82" s="11" t="n">
        <f aca="false">MIN(B82+C82,$B$5)</f>
        <v>0</v>
      </c>
      <c r="E82" s="11" t="n">
        <f aca="false">MAX(0,B82+C82-D82)</f>
        <v>0</v>
      </c>
      <c r="G82" s="11" t="n">
        <f aca="false">J81</f>
        <v>0</v>
      </c>
      <c r="H82" s="11" t="n">
        <f aca="false">G82*$B$7</f>
        <v>0</v>
      </c>
      <c r="I82" s="11" t="n">
        <f aca="false">MIN(G82+H82,$B$3)</f>
        <v>0</v>
      </c>
      <c r="J82" s="11" t="n">
        <f aca="false">MAX(0,G82+H82-I82)</f>
        <v>0</v>
      </c>
    </row>
    <row r="83" customFormat="false" ht="15" hidden="false" customHeight="false" outlineLevel="0" collapsed="false">
      <c r="A83" s="25" t="n">
        <v>72</v>
      </c>
      <c r="B83" s="26" t="n">
        <f aca="false">E82</f>
        <v>0</v>
      </c>
      <c r="C83" s="26" t="n">
        <f aca="false">B83*$B$7</f>
        <v>0</v>
      </c>
      <c r="D83" s="26" t="n">
        <f aca="false">MIN(B83+C83,$B$5)</f>
        <v>0</v>
      </c>
      <c r="E83" s="26" t="n">
        <f aca="false">MAX(0,B83+C83-D83)</f>
        <v>0</v>
      </c>
      <c r="G83" s="26" t="n">
        <f aca="false">J82</f>
        <v>0</v>
      </c>
      <c r="H83" s="26" t="n">
        <f aca="false">G83*$B$7</f>
        <v>0</v>
      </c>
      <c r="I83" s="26" t="n">
        <f aca="false">MIN(G83+H83,$B$3)</f>
        <v>0</v>
      </c>
      <c r="J83" s="26" t="n">
        <f aca="false">MAX(0,G83+H83-I83)</f>
        <v>0</v>
      </c>
    </row>
    <row r="84" customFormat="false" ht="15" hidden="false" customHeight="false" outlineLevel="0" collapsed="false">
      <c r="A84" s="12" t="n">
        <v>73</v>
      </c>
      <c r="B84" s="11" t="n">
        <f aca="false">E83</f>
        <v>0</v>
      </c>
      <c r="C84" s="11" t="n">
        <f aca="false">B84*$B$7</f>
        <v>0</v>
      </c>
      <c r="D84" s="11" t="n">
        <f aca="false">MIN(B84+C84,$B$5)</f>
        <v>0</v>
      </c>
      <c r="E84" s="11" t="n">
        <f aca="false">MAX(0,B84+C84-D84)</f>
        <v>0</v>
      </c>
      <c r="G84" s="11" t="n">
        <f aca="false">J83</f>
        <v>0</v>
      </c>
      <c r="H84" s="11" t="n">
        <f aca="false">G84*$B$7</f>
        <v>0</v>
      </c>
      <c r="I84" s="11" t="n">
        <f aca="false">MIN(G84+H84,$B$3)</f>
        <v>0</v>
      </c>
      <c r="J84" s="11" t="n">
        <f aca="false">MAX(0,G84+H84-I84)</f>
        <v>0</v>
      </c>
    </row>
    <row r="85" customFormat="false" ht="15" hidden="false" customHeight="false" outlineLevel="0" collapsed="false">
      <c r="A85" s="25" t="n">
        <v>74</v>
      </c>
      <c r="B85" s="26" t="n">
        <f aca="false">E84</f>
        <v>0</v>
      </c>
      <c r="C85" s="26" t="n">
        <f aca="false">B85*$B$7</f>
        <v>0</v>
      </c>
      <c r="D85" s="26" t="n">
        <f aca="false">MIN(B85+C85,$B$5)</f>
        <v>0</v>
      </c>
      <c r="E85" s="26" t="n">
        <f aca="false">MAX(0,B85+C85-D85)</f>
        <v>0</v>
      </c>
      <c r="G85" s="26" t="n">
        <f aca="false">J84</f>
        <v>0</v>
      </c>
      <c r="H85" s="26" t="n">
        <f aca="false">G85*$B$7</f>
        <v>0</v>
      </c>
      <c r="I85" s="26" t="n">
        <f aca="false">MIN(G85+H85,$B$3)</f>
        <v>0</v>
      </c>
      <c r="J85" s="26" t="n">
        <f aca="false">MAX(0,G85+H85-I85)</f>
        <v>0</v>
      </c>
    </row>
    <row r="86" customFormat="false" ht="15" hidden="false" customHeight="false" outlineLevel="0" collapsed="false">
      <c r="A86" s="12" t="n">
        <v>75</v>
      </c>
      <c r="B86" s="11" t="n">
        <f aca="false">E85</f>
        <v>0</v>
      </c>
      <c r="C86" s="11" t="n">
        <f aca="false">B86*$B$7</f>
        <v>0</v>
      </c>
      <c r="D86" s="11" t="n">
        <f aca="false">MIN(B86+C86,$B$5)</f>
        <v>0</v>
      </c>
      <c r="E86" s="11" t="n">
        <f aca="false">MAX(0,B86+C86-D86)</f>
        <v>0</v>
      </c>
      <c r="G86" s="11" t="n">
        <f aca="false">J85</f>
        <v>0</v>
      </c>
      <c r="H86" s="11" t="n">
        <f aca="false">G86*$B$7</f>
        <v>0</v>
      </c>
      <c r="I86" s="11" t="n">
        <f aca="false">MIN(G86+H86,$B$3)</f>
        <v>0</v>
      </c>
      <c r="J86" s="11" t="n">
        <f aca="false">MAX(0,G86+H86-I86)</f>
        <v>0</v>
      </c>
    </row>
    <row r="87" customFormat="false" ht="15" hidden="false" customHeight="false" outlineLevel="0" collapsed="false">
      <c r="A87" s="25" t="n">
        <v>76</v>
      </c>
      <c r="B87" s="26" t="n">
        <f aca="false">E86</f>
        <v>0</v>
      </c>
      <c r="C87" s="26" t="n">
        <f aca="false">B87*$B$7</f>
        <v>0</v>
      </c>
      <c r="D87" s="26" t="n">
        <f aca="false">MIN(B87+C87,$B$5)</f>
        <v>0</v>
      </c>
      <c r="E87" s="26" t="n">
        <f aca="false">MAX(0,B87+C87-D87)</f>
        <v>0</v>
      </c>
      <c r="G87" s="26" t="n">
        <f aca="false">J86</f>
        <v>0</v>
      </c>
      <c r="H87" s="26" t="n">
        <f aca="false">G87*$B$7</f>
        <v>0</v>
      </c>
      <c r="I87" s="26" t="n">
        <f aca="false">MIN(G87+H87,$B$3)</f>
        <v>0</v>
      </c>
      <c r="J87" s="26" t="n">
        <f aca="false">MAX(0,G87+H87-I87)</f>
        <v>0</v>
      </c>
    </row>
    <row r="88" customFormat="false" ht="15" hidden="false" customHeight="false" outlineLevel="0" collapsed="false">
      <c r="A88" s="12" t="n">
        <v>77</v>
      </c>
      <c r="B88" s="11" t="n">
        <f aca="false">E87</f>
        <v>0</v>
      </c>
      <c r="C88" s="11" t="n">
        <f aca="false">B88*$B$7</f>
        <v>0</v>
      </c>
      <c r="D88" s="11" t="n">
        <f aca="false">MIN(B88+C88,$B$5)</f>
        <v>0</v>
      </c>
      <c r="E88" s="11" t="n">
        <f aca="false">MAX(0,B88+C88-D88)</f>
        <v>0</v>
      </c>
      <c r="G88" s="11" t="n">
        <f aca="false">J87</f>
        <v>0</v>
      </c>
      <c r="H88" s="11" t="n">
        <f aca="false">G88*$B$7</f>
        <v>0</v>
      </c>
      <c r="I88" s="11" t="n">
        <f aca="false">MIN(G88+H88,$B$3)</f>
        <v>0</v>
      </c>
      <c r="J88" s="11" t="n">
        <f aca="false">MAX(0,G88+H88-I88)</f>
        <v>0</v>
      </c>
    </row>
    <row r="89" customFormat="false" ht="15" hidden="false" customHeight="false" outlineLevel="0" collapsed="false">
      <c r="A89" s="25" t="n">
        <v>78</v>
      </c>
      <c r="B89" s="26" t="n">
        <f aca="false">E88</f>
        <v>0</v>
      </c>
      <c r="C89" s="26" t="n">
        <f aca="false">B89*$B$7</f>
        <v>0</v>
      </c>
      <c r="D89" s="26" t="n">
        <f aca="false">MIN(B89+C89,$B$5)</f>
        <v>0</v>
      </c>
      <c r="E89" s="26" t="n">
        <f aca="false">MAX(0,B89+C89-D89)</f>
        <v>0</v>
      </c>
      <c r="G89" s="26" t="n">
        <f aca="false">J88</f>
        <v>0</v>
      </c>
      <c r="H89" s="26" t="n">
        <f aca="false">G89*$B$7</f>
        <v>0</v>
      </c>
      <c r="I89" s="26" t="n">
        <f aca="false">MIN(G89+H89,$B$3)</f>
        <v>0</v>
      </c>
      <c r="J89" s="26" t="n">
        <f aca="false">MAX(0,G89+H89-I89)</f>
        <v>0</v>
      </c>
    </row>
    <row r="90" customFormat="false" ht="15" hidden="false" customHeight="false" outlineLevel="0" collapsed="false">
      <c r="A90" s="12" t="n">
        <v>79</v>
      </c>
      <c r="B90" s="11" t="n">
        <f aca="false">E89</f>
        <v>0</v>
      </c>
      <c r="C90" s="11" t="n">
        <f aca="false">B90*$B$7</f>
        <v>0</v>
      </c>
      <c r="D90" s="11" t="n">
        <f aca="false">MIN(B90+C90,$B$5)</f>
        <v>0</v>
      </c>
      <c r="E90" s="11" t="n">
        <f aca="false">MAX(0,B90+C90-D90)</f>
        <v>0</v>
      </c>
      <c r="G90" s="11" t="n">
        <f aca="false">J89</f>
        <v>0</v>
      </c>
      <c r="H90" s="11" t="n">
        <f aca="false">G90*$B$7</f>
        <v>0</v>
      </c>
      <c r="I90" s="11" t="n">
        <f aca="false">MIN(G90+H90,$B$3)</f>
        <v>0</v>
      </c>
      <c r="J90" s="11" t="n">
        <f aca="false">MAX(0,G90+H90-I90)</f>
        <v>0</v>
      </c>
    </row>
    <row r="91" customFormat="false" ht="15" hidden="false" customHeight="false" outlineLevel="0" collapsed="false">
      <c r="A91" s="25" t="n">
        <v>80</v>
      </c>
      <c r="B91" s="26" t="n">
        <f aca="false">E90</f>
        <v>0</v>
      </c>
      <c r="C91" s="26" t="n">
        <f aca="false">B91*$B$7</f>
        <v>0</v>
      </c>
      <c r="D91" s="26" t="n">
        <f aca="false">MIN(B91+C91,$B$5)</f>
        <v>0</v>
      </c>
      <c r="E91" s="26" t="n">
        <f aca="false">MAX(0,B91+C91-D91)</f>
        <v>0</v>
      </c>
      <c r="G91" s="26" t="n">
        <f aca="false">J90</f>
        <v>0</v>
      </c>
      <c r="H91" s="26" t="n">
        <f aca="false">G91*$B$7</f>
        <v>0</v>
      </c>
      <c r="I91" s="26" t="n">
        <f aca="false">MIN(G91+H91,$B$3)</f>
        <v>0</v>
      </c>
      <c r="J91" s="26" t="n">
        <f aca="false">MAX(0,G91+H91-I91)</f>
        <v>0</v>
      </c>
    </row>
    <row r="92" customFormat="false" ht="15" hidden="false" customHeight="false" outlineLevel="0" collapsed="false">
      <c r="A92" s="12" t="n">
        <v>81</v>
      </c>
      <c r="B92" s="11" t="n">
        <f aca="false">E91</f>
        <v>0</v>
      </c>
      <c r="C92" s="11" t="n">
        <f aca="false">B92*$B$7</f>
        <v>0</v>
      </c>
      <c r="D92" s="11" t="n">
        <f aca="false">MIN(B92+C92,$B$5)</f>
        <v>0</v>
      </c>
      <c r="E92" s="11" t="n">
        <f aca="false">MAX(0,B92+C92-D92)</f>
        <v>0</v>
      </c>
      <c r="G92" s="11" t="n">
        <f aca="false">J91</f>
        <v>0</v>
      </c>
      <c r="H92" s="11" t="n">
        <f aca="false">G92*$B$7</f>
        <v>0</v>
      </c>
      <c r="I92" s="11" t="n">
        <f aca="false">MIN(G92+H92,$B$3)</f>
        <v>0</v>
      </c>
      <c r="J92" s="11" t="n">
        <f aca="false">MAX(0,G92+H92-I92)</f>
        <v>0</v>
      </c>
    </row>
    <row r="93" customFormat="false" ht="15" hidden="false" customHeight="false" outlineLevel="0" collapsed="false">
      <c r="A93" s="25" t="n">
        <v>82</v>
      </c>
      <c r="B93" s="26" t="n">
        <f aca="false">E92</f>
        <v>0</v>
      </c>
      <c r="C93" s="26" t="n">
        <f aca="false">B93*$B$7</f>
        <v>0</v>
      </c>
      <c r="D93" s="26" t="n">
        <f aca="false">MIN(B93+C93,$B$5)</f>
        <v>0</v>
      </c>
      <c r="E93" s="26" t="n">
        <f aca="false">MAX(0,B93+C93-D93)</f>
        <v>0</v>
      </c>
      <c r="G93" s="26" t="n">
        <f aca="false">J92</f>
        <v>0</v>
      </c>
      <c r="H93" s="26" t="n">
        <f aca="false">G93*$B$7</f>
        <v>0</v>
      </c>
      <c r="I93" s="26" t="n">
        <f aca="false">MIN(G93+H93,$B$3)</f>
        <v>0</v>
      </c>
      <c r="J93" s="26" t="n">
        <f aca="false">MAX(0,G93+H93-I93)</f>
        <v>0</v>
      </c>
    </row>
    <row r="94" customFormat="false" ht="15" hidden="false" customHeight="false" outlineLevel="0" collapsed="false">
      <c r="A94" s="12" t="n">
        <v>83</v>
      </c>
      <c r="B94" s="11" t="n">
        <f aca="false">E93</f>
        <v>0</v>
      </c>
      <c r="C94" s="11" t="n">
        <f aca="false">B94*$B$7</f>
        <v>0</v>
      </c>
      <c r="D94" s="11" t="n">
        <f aca="false">MIN(B94+C94,$B$5)</f>
        <v>0</v>
      </c>
      <c r="E94" s="11" t="n">
        <f aca="false">MAX(0,B94+C94-D94)</f>
        <v>0</v>
      </c>
      <c r="G94" s="11" t="n">
        <f aca="false">J93</f>
        <v>0</v>
      </c>
      <c r="H94" s="11" t="n">
        <f aca="false">G94*$B$7</f>
        <v>0</v>
      </c>
      <c r="I94" s="11" t="n">
        <f aca="false">MIN(G94+H94,$B$3)</f>
        <v>0</v>
      </c>
      <c r="J94" s="11" t="n">
        <f aca="false">MAX(0,G94+H94-I94)</f>
        <v>0</v>
      </c>
    </row>
    <row r="95" customFormat="false" ht="15" hidden="false" customHeight="false" outlineLevel="0" collapsed="false">
      <c r="A95" s="25" t="n">
        <v>84</v>
      </c>
      <c r="B95" s="26" t="n">
        <f aca="false">E94</f>
        <v>0</v>
      </c>
      <c r="C95" s="26" t="n">
        <f aca="false">B95*$B$7</f>
        <v>0</v>
      </c>
      <c r="D95" s="26" t="n">
        <f aca="false">MIN(B95+C95,$B$5)</f>
        <v>0</v>
      </c>
      <c r="E95" s="26" t="n">
        <f aca="false">MAX(0,B95+C95-D95)</f>
        <v>0</v>
      </c>
      <c r="G95" s="26" t="n">
        <f aca="false">J94</f>
        <v>0</v>
      </c>
      <c r="H95" s="26" t="n">
        <f aca="false">G95*$B$7</f>
        <v>0</v>
      </c>
      <c r="I95" s="26" t="n">
        <f aca="false">MIN(G95+H95,$B$3)</f>
        <v>0</v>
      </c>
      <c r="J95" s="26" t="n">
        <f aca="false">MAX(0,G95+H95-I95)</f>
        <v>0</v>
      </c>
    </row>
    <row r="96" customFormat="false" ht="15" hidden="false" customHeight="false" outlineLevel="0" collapsed="false">
      <c r="A96" s="12" t="n">
        <v>85</v>
      </c>
      <c r="B96" s="11" t="n">
        <f aca="false">E95</f>
        <v>0</v>
      </c>
      <c r="C96" s="11" t="n">
        <f aca="false">B96*$B$7</f>
        <v>0</v>
      </c>
      <c r="D96" s="11" t="n">
        <f aca="false">MIN(B96+C96,$B$5)</f>
        <v>0</v>
      </c>
      <c r="E96" s="11" t="n">
        <f aca="false">MAX(0,B96+C96-D96)</f>
        <v>0</v>
      </c>
      <c r="G96" s="11" t="n">
        <f aca="false">J95</f>
        <v>0</v>
      </c>
      <c r="H96" s="11" t="n">
        <f aca="false">G96*$B$7</f>
        <v>0</v>
      </c>
      <c r="I96" s="11" t="n">
        <f aca="false">MIN(G96+H96,$B$3)</f>
        <v>0</v>
      </c>
      <c r="J96" s="11" t="n">
        <f aca="false">MAX(0,G96+H96-I96)</f>
        <v>0</v>
      </c>
    </row>
    <row r="97" customFormat="false" ht="15" hidden="false" customHeight="false" outlineLevel="0" collapsed="false">
      <c r="A97" s="25" t="n">
        <v>86</v>
      </c>
      <c r="B97" s="26" t="n">
        <f aca="false">E96</f>
        <v>0</v>
      </c>
      <c r="C97" s="26" t="n">
        <f aca="false">B97*$B$7</f>
        <v>0</v>
      </c>
      <c r="D97" s="26" t="n">
        <f aca="false">MIN(B97+C97,$B$5)</f>
        <v>0</v>
      </c>
      <c r="E97" s="26" t="n">
        <f aca="false">MAX(0,B97+C97-D97)</f>
        <v>0</v>
      </c>
      <c r="G97" s="26" t="n">
        <f aca="false">J96</f>
        <v>0</v>
      </c>
      <c r="H97" s="26" t="n">
        <f aca="false">G97*$B$7</f>
        <v>0</v>
      </c>
      <c r="I97" s="26" t="n">
        <f aca="false">MIN(G97+H97,$B$3)</f>
        <v>0</v>
      </c>
      <c r="J97" s="26" t="n">
        <f aca="false">MAX(0,G97+H97-I97)</f>
        <v>0</v>
      </c>
    </row>
    <row r="98" customFormat="false" ht="15" hidden="false" customHeight="false" outlineLevel="0" collapsed="false">
      <c r="A98" s="12" t="n">
        <v>87</v>
      </c>
      <c r="B98" s="11" t="n">
        <f aca="false">E97</f>
        <v>0</v>
      </c>
      <c r="C98" s="11" t="n">
        <f aca="false">B98*$B$7</f>
        <v>0</v>
      </c>
      <c r="D98" s="11" t="n">
        <f aca="false">MIN(B98+C98,$B$5)</f>
        <v>0</v>
      </c>
      <c r="E98" s="11" t="n">
        <f aca="false">MAX(0,B98+C98-D98)</f>
        <v>0</v>
      </c>
      <c r="G98" s="11" t="n">
        <f aca="false">J97</f>
        <v>0</v>
      </c>
      <c r="H98" s="11" t="n">
        <f aca="false">G98*$B$7</f>
        <v>0</v>
      </c>
      <c r="I98" s="11" t="n">
        <f aca="false">MIN(G98+H98,$B$3)</f>
        <v>0</v>
      </c>
      <c r="J98" s="11" t="n">
        <f aca="false">MAX(0,G98+H98-I98)</f>
        <v>0</v>
      </c>
    </row>
    <row r="99" customFormat="false" ht="15" hidden="false" customHeight="false" outlineLevel="0" collapsed="false">
      <c r="A99" s="25" t="n">
        <v>88</v>
      </c>
      <c r="B99" s="26" t="n">
        <f aca="false">E98</f>
        <v>0</v>
      </c>
      <c r="C99" s="26" t="n">
        <f aca="false">B99*$B$7</f>
        <v>0</v>
      </c>
      <c r="D99" s="26" t="n">
        <f aca="false">MIN(B99+C99,$B$5)</f>
        <v>0</v>
      </c>
      <c r="E99" s="26" t="n">
        <f aca="false">MAX(0,B99+C99-D99)</f>
        <v>0</v>
      </c>
      <c r="G99" s="26" t="n">
        <f aca="false">J98</f>
        <v>0</v>
      </c>
      <c r="H99" s="26" t="n">
        <f aca="false">G99*$B$7</f>
        <v>0</v>
      </c>
      <c r="I99" s="26" t="n">
        <f aca="false">MIN(G99+H99,$B$3)</f>
        <v>0</v>
      </c>
      <c r="J99" s="26" t="n">
        <f aca="false">MAX(0,G99+H99-I99)</f>
        <v>0</v>
      </c>
    </row>
    <row r="100" customFormat="false" ht="15" hidden="false" customHeight="false" outlineLevel="0" collapsed="false">
      <c r="A100" s="12" t="n">
        <v>89</v>
      </c>
      <c r="B100" s="11" t="n">
        <f aca="false">E99</f>
        <v>0</v>
      </c>
      <c r="C100" s="11" t="n">
        <f aca="false">B100*$B$7</f>
        <v>0</v>
      </c>
      <c r="D100" s="11" t="n">
        <f aca="false">MIN(B100+C100,$B$5)</f>
        <v>0</v>
      </c>
      <c r="E100" s="11" t="n">
        <f aca="false">MAX(0,B100+C100-D100)</f>
        <v>0</v>
      </c>
      <c r="G100" s="11" t="n">
        <f aca="false">J99</f>
        <v>0</v>
      </c>
      <c r="H100" s="11" t="n">
        <f aca="false">G100*$B$7</f>
        <v>0</v>
      </c>
      <c r="I100" s="11" t="n">
        <f aca="false">MIN(G100+H100,$B$3)</f>
        <v>0</v>
      </c>
      <c r="J100" s="11" t="n">
        <f aca="false">MAX(0,G100+H100-I100)</f>
        <v>0</v>
      </c>
    </row>
    <row r="101" customFormat="false" ht="15" hidden="false" customHeight="false" outlineLevel="0" collapsed="false">
      <c r="A101" s="25" t="n">
        <v>90</v>
      </c>
      <c r="B101" s="26" t="n">
        <f aca="false">E100</f>
        <v>0</v>
      </c>
      <c r="C101" s="26" t="n">
        <f aca="false">B101*$B$7</f>
        <v>0</v>
      </c>
      <c r="D101" s="26" t="n">
        <f aca="false">MIN(B101+C101,$B$5)</f>
        <v>0</v>
      </c>
      <c r="E101" s="26" t="n">
        <f aca="false">MAX(0,B101+C101-D101)</f>
        <v>0</v>
      </c>
      <c r="G101" s="26" t="n">
        <f aca="false">J100</f>
        <v>0</v>
      </c>
      <c r="H101" s="26" t="n">
        <f aca="false">G101*$B$7</f>
        <v>0</v>
      </c>
      <c r="I101" s="26" t="n">
        <f aca="false">MIN(G101+H101,$B$3)</f>
        <v>0</v>
      </c>
      <c r="J101" s="26" t="n">
        <f aca="false">MAX(0,G101+H101-I101)</f>
        <v>0</v>
      </c>
    </row>
    <row r="102" customFormat="false" ht="15" hidden="false" customHeight="false" outlineLevel="0" collapsed="false">
      <c r="A102" s="12" t="n">
        <v>91</v>
      </c>
      <c r="B102" s="11" t="n">
        <f aca="false">E101</f>
        <v>0</v>
      </c>
      <c r="C102" s="11" t="n">
        <f aca="false">B102*$B$7</f>
        <v>0</v>
      </c>
      <c r="D102" s="11" t="n">
        <f aca="false">MIN(B102+C102,$B$5)</f>
        <v>0</v>
      </c>
      <c r="E102" s="11" t="n">
        <f aca="false">MAX(0,B102+C102-D102)</f>
        <v>0</v>
      </c>
      <c r="G102" s="11" t="n">
        <f aca="false">J101</f>
        <v>0</v>
      </c>
      <c r="H102" s="11" t="n">
        <f aca="false">G102*$B$7</f>
        <v>0</v>
      </c>
      <c r="I102" s="11" t="n">
        <f aca="false">MIN(G102+H102,$B$3)</f>
        <v>0</v>
      </c>
      <c r="J102" s="11" t="n">
        <f aca="false">MAX(0,G102+H102-I102)</f>
        <v>0</v>
      </c>
    </row>
    <row r="103" customFormat="false" ht="15" hidden="false" customHeight="false" outlineLevel="0" collapsed="false">
      <c r="A103" s="25" t="n">
        <v>92</v>
      </c>
      <c r="B103" s="26" t="n">
        <f aca="false">E102</f>
        <v>0</v>
      </c>
      <c r="C103" s="26" t="n">
        <f aca="false">B103*$B$7</f>
        <v>0</v>
      </c>
      <c r="D103" s="26" t="n">
        <f aca="false">MIN(B103+C103,$B$5)</f>
        <v>0</v>
      </c>
      <c r="E103" s="26" t="n">
        <f aca="false">MAX(0,B103+C103-D103)</f>
        <v>0</v>
      </c>
      <c r="G103" s="26" t="n">
        <f aca="false">J102</f>
        <v>0</v>
      </c>
      <c r="H103" s="26" t="n">
        <f aca="false">G103*$B$7</f>
        <v>0</v>
      </c>
      <c r="I103" s="26" t="n">
        <f aca="false">MIN(G103+H103,$B$3)</f>
        <v>0</v>
      </c>
      <c r="J103" s="26" t="n">
        <f aca="false">MAX(0,G103+H103-I103)</f>
        <v>0</v>
      </c>
    </row>
    <row r="104" customFormat="false" ht="15" hidden="false" customHeight="false" outlineLevel="0" collapsed="false">
      <c r="A104" s="12" t="n">
        <v>93</v>
      </c>
      <c r="B104" s="11" t="n">
        <f aca="false">E103</f>
        <v>0</v>
      </c>
      <c r="C104" s="11" t="n">
        <f aca="false">B104*$B$7</f>
        <v>0</v>
      </c>
      <c r="D104" s="11" t="n">
        <f aca="false">MIN(B104+C104,$B$5)</f>
        <v>0</v>
      </c>
      <c r="E104" s="11" t="n">
        <f aca="false">MAX(0,B104+C104-D104)</f>
        <v>0</v>
      </c>
      <c r="G104" s="11" t="n">
        <f aca="false">J103</f>
        <v>0</v>
      </c>
      <c r="H104" s="11" t="n">
        <f aca="false">G104*$B$7</f>
        <v>0</v>
      </c>
      <c r="I104" s="11" t="n">
        <f aca="false">MIN(G104+H104,$B$3)</f>
        <v>0</v>
      </c>
      <c r="J104" s="11" t="n">
        <f aca="false">MAX(0,G104+H104-I104)</f>
        <v>0</v>
      </c>
    </row>
    <row r="105" customFormat="false" ht="15" hidden="false" customHeight="false" outlineLevel="0" collapsed="false">
      <c r="A105" s="25" t="n">
        <v>94</v>
      </c>
      <c r="B105" s="26" t="n">
        <f aca="false">E104</f>
        <v>0</v>
      </c>
      <c r="C105" s="26" t="n">
        <f aca="false">B105*$B$7</f>
        <v>0</v>
      </c>
      <c r="D105" s="26" t="n">
        <f aca="false">MIN(B105+C105,$B$5)</f>
        <v>0</v>
      </c>
      <c r="E105" s="26" t="n">
        <f aca="false">MAX(0,B105+C105-D105)</f>
        <v>0</v>
      </c>
      <c r="G105" s="26" t="n">
        <f aca="false">J104</f>
        <v>0</v>
      </c>
      <c r="H105" s="26" t="n">
        <f aca="false">G105*$B$7</f>
        <v>0</v>
      </c>
      <c r="I105" s="26" t="n">
        <f aca="false">MIN(G105+H105,$B$3)</f>
        <v>0</v>
      </c>
      <c r="J105" s="26" t="n">
        <f aca="false">MAX(0,G105+H105-I105)</f>
        <v>0</v>
      </c>
    </row>
    <row r="106" customFormat="false" ht="15" hidden="false" customHeight="false" outlineLevel="0" collapsed="false">
      <c r="A106" s="12" t="n">
        <v>95</v>
      </c>
      <c r="B106" s="11" t="n">
        <f aca="false">E105</f>
        <v>0</v>
      </c>
      <c r="C106" s="11" t="n">
        <f aca="false">B106*$B$7</f>
        <v>0</v>
      </c>
      <c r="D106" s="11" t="n">
        <f aca="false">MIN(B106+C106,$B$5)</f>
        <v>0</v>
      </c>
      <c r="E106" s="11" t="n">
        <f aca="false">MAX(0,B106+C106-D106)</f>
        <v>0</v>
      </c>
      <c r="G106" s="11" t="n">
        <f aca="false">J105</f>
        <v>0</v>
      </c>
      <c r="H106" s="11" t="n">
        <f aca="false">G106*$B$7</f>
        <v>0</v>
      </c>
      <c r="I106" s="11" t="n">
        <f aca="false">MIN(G106+H106,$B$3)</f>
        <v>0</v>
      </c>
      <c r="J106" s="11" t="n">
        <f aca="false">MAX(0,G106+H106-I106)</f>
        <v>0</v>
      </c>
    </row>
    <row r="107" customFormat="false" ht="15" hidden="false" customHeight="false" outlineLevel="0" collapsed="false">
      <c r="A107" s="25" t="n">
        <v>96</v>
      </c>
      <c r="B107" s="26" t="n">
        <f aca="false">E106</f>
        <v>0</v>
      </c>
      <c r="C107" s="26" t="n">
        <f aca="false">B107*$B$7</f>
        <v>0</v>
      </c>
      <c r="D107" s="26" t="n">
        <f aca="false">MIN(B107+C107,$B$5)</f>
        <v>0</v>
      </c>
      <c r="E107" s="26" t="n">
        <f aca="false">MAX(0,B107+C107-D107)</f>
        <v>0</v>
      </c>
      <c r="G107" s="26" t="n">
        <f aca="false">J106</f>
        <v>0</v>
      </c>
      <c r="H107" s="26" t="n">
        <f aca="false">G107*$B$7</f>
        <v>0</v>
      </c>
      <c r="I107" s="26" t="n">
        <f aca="false">MIN(G107+H107,$B$3)</f>
        <v>0</v>
      </c>
      <c r="J107" s="26" t="n">
        <f aca="false">MAX(0,G107+H107-I107)</f>
        <v>0</v>
      </c>
    </row>
    <row r="108" customFormat="false" ht="15" hidden="false" customHeight="false" outlineLevel="0" collapsed="false">
      <c r="A108" s="12" t="n">
        <v>97</v>
      </c>
      <c r="B108" s="11" t="n">
        <f aca="false">E107</f>
        <v>0</v>
      </c>
      <c r="C108" s="11" t="n">
        <f aca="false">B108*$B$7</f>
        <v>0</v>
      </c>
      <c r="D108" s="11" t="n">
        <f aca="false">MIN(B108+C108,$B$5)</f>
        <v>0</v>
      </c>
      <c r="E108" s="11" t="n">
        <f aca="false">MAX(0,B108+C108-D108)</f>
        <v>0</v>
      </c>
      <c r="G108" s="11" t="n">
        <f aca="false">J107</f>
        <v>0</v>
      </c>
      <c r="H108" s="11" t="n">
        <f aca="false">G108*$B$7</f>
        <v>0</v>
      </c>
      <c r="I108" s="11" t="n">
        <f aca="false">MIN(G108+H108,$B$3)</f>
        <v>0</v>
      </c>
      <c r="J108" s="11" t="n">
        <f aca="false">MAX(0,G108+H108-I108)</f>
        <v>0</v>
      </c>
    </row>
    <row r="109" customFormat="false" ht="15" hidden="false" customHeight="false" outlineLevel="0" collapsed="false">
      <c r="A109" s="25" t="n">
        <v>98</v>
      </c>
      <c r="B109" s="26" t="n">
        <f aca="false">E108</f>
        <v>0</v>
      </c>
      <c r="C109" s="26" t="n">
        <f aca="false">B109*$B$7</f>
        <v>0</v>
      </c>
      <c r="D109" s="26" t="n">
        <f aca="false">MIN(B109+C109,$B$5)</f>
        <v>0</v>
      </c>
      <c r="E109" s="26" t="n">
        <f aca="false">MAX(0,B109+C109-D109)</f>
        <v>0</v>
      </c>
      <c r="G109" s="26" t="n">
        <f aca="false">J108</f>
        <v>0</v>
      </c>
      <c r="H109" s="26" t="n">
        <f aca="false">G109*$B$7</f>
        <v>0</v>
      </c>
      <c r="I109" s="26" t="n">
        <f aca="false">MIN(G109+H109,$B$3)</f>
        <v>0</v>
      </c>
      <c r="J109" s="26" t="n">
        <f aca="false">MAX(0,G109+H109-I109)</f>
        <v>0</v>
      </c>
    </row>
    <row r="110" customFormat="false" ht="15" hidden="false" customHeight="false" outlineLevel="0" collapsed="false">
      <c r="A110" s="12" t="n">
        <v>99</v>
      </c>
      <c r="B110" s="11" t="n">
        <f aca="false">E109</f>
        <v>0</v>
      </c>
      <c r="C110" s="11" t="n">
        <f aca="false">B110*$B$7</f>
        <v>0</v>
      </c>
      <c r="D110" s="11" t="n">
        <f aca="false">MIN(B110+C110,$B$5)</f>
        <v>0</v>
      </c>
      <c r="E110" s="11" t="n">
        <f aca="false">MAX(0,B110+C110-D110)</f>
        <v>0</v>
      </c>
      <c r="G110" s="11" t="n">
        <f aca="false">J109</f>
        <v>0</v>
      </c>
      <c r="H110" s="11" t="n">
        <f aca="false">G110*$B$7</f>
        <v>0</v>
      </c>
      <c r="I110" s="11" t="n">
        <f aca="false">MIN(G110+H110,$B$3)</f>
        <v>0</v>
      </c>
      <c r="J110" s="11" t="n">
        <f aca="false">MAX(0,G110+H110-I110)</f>
        <v>0</v>
      </c>
    </row>
    <row r="111" customFormat="false" ht="15" hidden="false" customHeight="false" outlineLevel="0" collapsed="false">
      <c r="A111" s="25" t="n">
        <v>100</v>
      </c>
      <c r="B111" s="26" t="n">
        <f aca="false">E110</f>
        <v>0</v>
      </c>
      <c r="C111" s="26" t="n">
        <f aca="false">B111*$B$7</f>
        <v>0</v>
      </c>
      <c r="D111" s="26" t="n">
        <f aca="false">MIN(B111+C111,$B$5)</f>
        <v>0</v>
      </c>
      <c r="E111" s="26" t="n">
        <f aca="false">MAX(0,B111+C111-D111)</f>
        <v>0</v>
      </c>
      <c r="G111" s="26" t="n">
        <f aca="false">J110</f>
        <v>0</v>
      </c>
      <c r="H111" s="26" t="n">
        <f aca="false">G111*$B$7</f>
        <v>0</v>
      </c>
      <c r="I111" s="26" t="n">
        <f aca="false">MIN(G111+H111,$B$3)</f>
        <v>0</v>
      </c>
      <c r="J111" s="26" t="n">
        <f aca="false">MAX(0,G111+H111-I111)</f>
        <v>0</v>
      </c>
    </row>
    <row r="112" customFormat="false" ht="15" hidden="false" customHeight="false" outlineLevel="0" collapsed="false">
      <c r="A112" s="12" t="n">
        <v>101</v>
      </c>
      <c r="B112" s="11" t="n">
        <f aca="false">E111</f>
        <v>0</v>
      </c>
      <c r="C112" s="11" t="n">
        <f aca="false">B112*$B$7</f>
        <v>0</v>
      </c>
      <c r="D112" s="11" t="n">
        <f aca="false">MIN(B112+C112,$B$5)</f>
        <v>0</v>
      </c>
      <c r="E112" s="11" t="n">
        <f aca="false">MAX(0,B112+C112-D112)</f>
        <v>0</v>
      </c>
      <c r="G112" s="11" t="n">
        <f aca="false">J111</f>
        <v>0</v>
      </c>
      <c r="H112" s="11" t="n">
        <f aca="false">G112*$B$7</f>
        <v>0</v>
      </c>
      <c r="I112" s="11" t="n">
        <f aca="false">MIN(G112+H112,$B$3)</f>
        <v>0</v>
      </c>
      <c r="J112" s="11" t="n">
        <f aca="false">MAX(0,G112+H112-I112)</f>
        <v>0</v>
      </c>
    </row>
    <row r="113" customFormat="false" ht="15" hidden="false" customHeight="false" outlineLevel="0" collapsed="false">
      <c r="A113" s="25" t="n">
        <v>102</v>
      </c>
      <c r="B113" s="26" t="n">
        <f aca="false">E112</f>
        <v>0</v>
      </c>
      <c r="C113" s="26" t="n">
        <f aca="false">B113*$B$7</f>
        <v>0</v>
      </c>
      <c r="D113" s="26" t="n">
        <f aca="false">MIN(B113+C113,$B$5)</f>
        <v>0</v>
      </c>
      <c r="E113" s="26" t="n">
        <f aca="false">MAX(0,B113+C113-D113)</f>
        <v>0</v>
      </c>
      <c r="G113" s="26" t="n">
        <f aca="false">J112</f>
        <v>0</v>
      </c>
      <c r="H113" s="26" t="n">
        <f aca="false">G113*$B$7</f>
        <v>0</v>
      </c>
      <c r="I113" s="26" t="n">
        <f aca="false">MIN(G113+H113,$B$3)</f>
        <v>0</v>
      </c>
      <c r="J113" s="26" t="n">
        <f aca="false">MAX(0,G113+H113-I113)</f>
        <v>0</v>
      </c>
    </row>
    <row r="114" customFormat="false" ht="15" hidden="false" customHeight="false" outlineLevel="0" collapsed="false">
      <c r="A114" s="12" t="n">
        <v>103</v>
      </c>
      <c r="B114" s="11" t="n">
        <f aca="false">E113</f>
        <v>0</v>
      </c>
      <c r="C114" s="11" t="n">
        <f aca="false">B114*$B$7</f>
        <v>0</v>
      </c>
      <c r="D114" s="11" t="n">
        <f aca="false">MIN(B114+C114,$B$5)</f>
        <v>0</v>
      </c>
      <c r="E114" s="11" t="n">
        <f aca="false">MAX(0,B114+C114-D114)</f>
        <v>0</v>
      </c>
      <c r="G114" s="11" t="n">
        <f aca="false">J113</f>
        <v>0</v>
      </c>
      <c r="H114" s="11" t="n">
        <f aca="false">G114*$B$7</f>
        <v>0</v>
      </c>
      <c r="I114" s="11" t="n">
        <f aca="false">MIN(G114+H114,$B$3)</f>
        <v>0</v>
      </c>
      <c r="J114" s="11" t="n">
        <f aca="false">MAX(0,G114+H114-I114)</f>
        <v>0</v>
      </c>
    </row>
    <row r="115" customFormat="false" ht="15" hidden="false" customHeight="false" outlineLevel="0" collapsed="false">
      <c r="A115" s="25" t="n">
        <v>104</v>
      </c>
      <c r="B115" s="26" t="n">
        <f aca="false">E114</f>
        <v>0</v>
      </c>
      <c r="C115" s="26" t="n">
        <f aca="false">B115*$B$7</f>
        <v>0</v>
      </c>
      <c r="D115" s="26" t="n">
        <f aca="false">MIN(B115+C115,$B$5)</f>
        <v>0</v>
      </c>
      <c r="E115" s="26" t="n">
        <f aca="false">MAX(0,B115+C115-D115)</f>
        <v>0</v>
      </c>
      <c r="G115" s="26" t="n">
        <f aca="false">J114</f>
        <v>0</v>
      </c>
      <c r="H115" s="26" t="n">
        <f aca="false">G115*$B$7</f>
        <v>0</v>
      </c>
      <c r="I115" s="26" t="n">
        <f aca="false">MIN(G115+H115,$B$3)</f>
        <v>0</v>
      </c>
      <c r="J115" s="26" t="n">
        <f aca="false">MAX(0,G115+H115-I115)</f>
        <v>0</v>
      </c>
    </row>
    <row r="116" customFormat="false" ht="15" hidden="false" customHeight="false" outlineLevel="0" collapsed="false">
      <c r="A116" s="12" t="n">
        <v>105</v>
      </c>
      <c r="B116" s="11" t="n">
        <f aca="false">E115</f>
        <v>0</v>
      </c>
      <c r="C116" s="11" t="n">
        <f aca="false">B116*$B$7</f>
        <v>0</v>
      </c>
      <c r="D116" s="11" t="n">
        <f aca="false">MIN(B116+C116,$B$5)</f>
        <v>0</v>
      </c>
      <c r="E116" s="11" t="n">
        <f aca="false">MAX(0,B116+C116-D116)</f>
        <v>0</v>
      </c>
      <c r="G116" s="11" t="n">
        <f aca="false">J115</f>
        <v>0</v>
      </c>
      <c r="H116" s="11" t="n">
        <f aca="false">G116*$B$7</f>
        <v>0</v>
      </c>
      <c r="I116" s="11" t="n">
        <f aca="false">MIN(G116+H116,$B$3)</f>
        <v>0</v>
      </c>
      <c r="J116" s="11" t="n">
        <f aca="false">MAX(0,G116+H116-I116)</f>
        <v>0</v>
      </c>
    </row>
    <row r="117" customFormat="false" ht="15" hidden="false" customHeight="false" outlineLevel="0" collapsed="false">
      <c r="A117" s="25" t="n">
        <v>106</v>
      </c>
      <c r="B117" s="26" t="n">
        <f aca="false">E116</f>
        <v>0</v>
      </c>
      <c r="C117" s="26" t="n">
        <f aca="false">B117*$B$7</f>
        <v>0</v>
      </c>
      <c r="D117" s="26" t="n">
        <f aca="false">MIN(B117+C117,$B$5)</f>
        <v>0</v>
      </c>
      <c r="E117" s="26" t="n">
        <f aca="false">MAX(0,B117+C117-D117)</f>
        <v>0</v>
      </c>
      <c r="G117" s="26" t="n">
        <f aca="false">J116</f>
        <v>0</v>
      </c>
      <c r="H117" s="26" t="n">
        <f aca="false">G117*$B$7</f>
        <v>0</v>
      </c>
      <c r="I117" s="26" t="n">
        <f aca="false">MIN(G117+H117,$B$3)</f>
        <v>0</v>
      </c>
      <c r="J117" s="26" t="n">
        <f aca="false">MAX(0,G117+H117-I117)</f>
        <v>0</v>
      </c>
    </row>
    <row r="118" customFormat="false" ht="15" hidden="false" customHeight="false" outlineLevel="0" collapsed="false">
      <c r="A118" s="12" t="n">
        <v>107</v>
      </c>
      <c r="B118" s="11" t="n">
        <f aca="false">E117</f>
        <v>0</v>
      </c>
      <c r="C118" s="11" t="n">
        <f aca="false">B118*$B$7</f>
        <v>0</v>
      </c>
      <c r="D118" s="11" t="n">
        <f aca="false">MIN(B118+C118,$B$5)</f>
        <v>0</v>
      </c>
      <c r="E118" s="11" t="n">
        <f aca="false">MAX(0,B118+C118-D118)</f>
        <v>0</v>
      </c>
      <c r="G118" s="11" t="n">
        <f aca="false">J117</f>
        <v>0</v>
      </c>
      <c r="H118" s="11" t="n">
        <f aca="false">G118*$B$7</f>
        <v>0</v>
      </c>
      <c r="I118" s="11" t="n">
        <f aca="false">MIN(G118+H118,$B$3)</f>
        <v>0</v>
      </c>
      <c r="J118" s="11" t="n">
        <f aca="false">MAX(0,G118+H118-I118)</f>
        <v>0</v>
      </c>
    </row>
    <row r="119" customFormat="false" ht="15" hidden="false" customHeight="false" outlineLevel="0" collapsed="false">
      <c r="A119" s="25" t="n">
        <v>108</v>
      </c>
      <c r="B119" s="26" t="n">
        <f aca="false">E118</f>
        <v>0</v>
      </c>
      <c r="C119" s="26" t="n">
        <f aca="false">B119*$B$7</f>
        <v>0</v>
      </c>
      <c r="D119" s="26" t="n">
        <f aca="false">MIN(B119+C119,$B$5)</f>
        <v>0</v>
      </c>
      <c r="E119" s="26" t="n">
        <f aca="false">MAX(0,B119+C119-D119)</f>
        <v>0</v>
      </c>
      <c r="G119" s="26" t="n">
        <f aca="false">J118</f>
        <v>0</v>
      </c>
      <c r="H119" s="26" t="n">
        <f aca="false">G119*$B$7</f>
        <v>0</v>
      </c>
      <c r="I119" s="26" t="n">
        <f aca="false">MIN(G119+H119,$B$3)</f>
        <v>0</v>
      </c>
      <c r="J119" s="26" t="n">
        <f aca="false">MAX(0,G119+H119-I119)</f>
        <v>0</v>
      </c>
    </row>
    <row r="120" customFormat="false" ht="15" hidden="false" customHeight="false" outlineLevel="0" collapsed="false">
      <c r="A120" s="12" t="n">
        <v>109</v>
      </c>
      <c r="B120" s="11" t="n">
        <f aca="false">E119</f>
        <v>0</v>
      </c>
      <c r="C120" s="11" t="n">
        <f aca="false">B120*$B$7</f>
        <v>0</v>
      </c>
      <c r="D120" s="11" t="n">
        <f aca="false">MIN(B120+C120,$B$5)</f>
        <v>0</v>
      </c>
      <c r="E120" s="11" t="n">
        <f aca="false">MAX(0,B120+C120-D120)</f>
        <v>0</v>
      </c>
      <c r="G120" s="11" t="n">
        <f aca="false">J119</f>
        <v>0</v>
      </c>
      <c r="H120" s="11" t="n">
        <f aca="false">G120*$B$7</f>
        <v>0</v>
      </c>
      <c r="I120" s="11" t="n">
        <f aca="false">MIN(G120+H120,$B$3)</f>
        <v>0</v>
      </c>
      <c r="J120" s="11" t="n">
        <f aca="false">MAX(0,G120+H120-I120)</f>
        <v>0</v>
      </c>
    </row>
    <row r="121" customFormat="false" ht="15" hidden="false" customHeight="false" outlineLevel="0" collapsed="false">
      <c r="A121" s="25" t="n">
        <v>110</v>
      </c>
      <c r="B121" s="26" t="n">
        <f aca="false">E120</f>
        <v>0</v>
      </c>
      <c r="C121" s="26" t="n">
        <f aca="false">B121*$B$7</f>
        <v>0</v>
      </c>
      <c r="D121" s="26" t="n">
        <f aca="false">MIN(B121+C121,$B$5)</f>
        <v>0</v>
      </c>
      <c r="E121" s="26" t="n">
        <f aca="false">MAX(0,B121+C121-D121)</f>
        <v>0</v>
      </c>
      <c r="G121" s="26" t="n">
        <f aca="false">J120</f>
        <v>0</v>
      </c>
      <c r="H121" s="26" t="n">
        <f aca="false">G121*$B$7</f>
        <v>0</v>
      </c>
      <c r="I121" s="26" t="n">
        <f aca="false">MIN(G121+H121,$B$3)</f>
        <v>0</v>
      </c>
      <c r="J121" s="26" t="n">
        <f aca="false">MAX(0,G121+H121-I121)</f>
        <v>0</v>
      </c>
    </row>
    <row r="122" customFormat="false" ht="15" hidden="false" customHeight="false" outlineLevel="0" collapsed="false">
      <c r="A122" s="12" t="n">
        <v>111</v>
      </c>
      <c r="B122" s="11" t="n">
        <f aca="false">E121</f>
        <v>0</v>
      </c>
      <c r="C122" s="11" t="n">
        <f aca="false">B122*$B$7</f>
        <v>0</v>
      </c>
      <c r="D122" s="11" t="n">
        <f aca="false">MIN(B122+C122,$B$5)</f>
        <v>0</v>
      </c>
      <c r="E122" s="11" t="n">
        <f aca="false">MAX(0,B122+C122-D122)</f>
        <v>0</v>
      </c>
      <c r="G122" s="11" t="n">
        <f aca="false">J121</f>
        <v>0</v>
      </c>
      <c r="H122" s="11" t="n">
        <f aca="false">G122*$B$7</f>
        <v>0</v>
      </c>
      <c r="I122" s="11" t="n">
        <f aca="false">MIN(G122+H122,$B$3)</f>
        <v>0</v>
      </c>
      <c r="J122" s="11" t="n">
        <f aca="false">MAX(0,G122+H122-I122)</f>
        <v>0</v>
      </c>
    </row>
    <row r="123" customFormat="false" ht="15" hidden="false" customHeight="false" outlineLevel="0" collapsed="false">
      <c r="A123" s="25" t="n">
        <v>112</v>
      </c>
      <c r="B123" s="26" t="n">
        <f aca="false">E122</f>
        <v>0</v>
      </c>
      <c r="C123" s="26" t="n">
        <f aca="false">B123*$B$7</f>
        <v>0</v>
      </c>
      <c r="D123" s="26" t="n">
        <f aca="false">MIN(B123+C123,$B$5)</f>
        <v>0</v>
      </c>
      <c r="E123" s="26" t="n">
        <f aca="false">MAX(0,B123+C123-D123)</f>
        <v>0</v>
      </c>
      <c r="G123" s="26" t="n">
        <f aca="false">J122</f>
        <v>0</v>
      </c>
      <c r="H123" s="26" t="n">
        <f aca="false">G123*$B$7</f>
        <v>0</v>
      </c>
      <c r="I123" s="26" t="n">
        <f aca="false">MIN(G123+H123,$B$3)</f>
        <v>0</v>
      </c>
      <c r="J123" s="26" t="n">
        <f aca="false">MAX(0,G123+H123-I123)</f>
        <v>0</v>
      </c>
    </row>
    <row r="124" customFormat="false" ht="15" hidden="false" customHeight="false" outlineLevel="0" collapsed="false">
      <c r="A124" s="12" t="n">
        <v>113</v>
      </c>
      <c r="B124" s="11" t="n">
        <f aca="false">E123</f>
        <v>0</v>
      </c>
      <c r="C124" s="11" t="n">
        <f aca="false">B124*$B$7</f>
        <v>0</v>
      </c>
      <c r="D124" s="11" t="n">
        <f aca="false">MIN(B124+C124,$B$5)</f>
        <v>0</v>
      </c>
      <c r="E124" s="11" t="n">
        <f aca="false">MAX(0,B124+C124-D124)</f>
        <v>0</v>
      </c>
      <c r="G124" s="11" t="n">
        <f aca="false">J123</f>
        <v>0</v>
      </c>
      <c r="H124" s="11" t="n">
        <f aca="false">G124*$B$7</f>
        <v>0</v>
      </c>
      <c r="I124" s="11" t="n">
        <f aca="false">MIN(G124+H124,$B$3)</f>
        <v>0</v>
      </c>
      <c r="J124" s="11" t="n">
        <f aca="false">MAX(0,G124+H124-I124)</f>
        <v>0</v>
      </c>
    </row>
    <row r="125" customFormat="false" ht="15" hidden="false" customHeight="false" outlineLevel="0" collapsed="false">
      <c r="A125" s="25" t="n">
        <v>114</v>
      </c>
      <c r="B125" s="26" t="n">
        <f aca="false">E124</f>
        <v>0</v>
      </c>
      <c r="C125" s="26" t="n">
        <f aca="false">B125*$B$7</f>
        <v>0</v>
      </c>
      <c r="D125" s="26" t="n">
        <f aca="false">MIN(B125+C125,$B$5)</f>
        <v>0</v>
      </c>
      <c r="E125" s="26" t="n">
        <f aca="false">MAX(0,B125+C125-D125)</f>
        <v>0</v>
      </c>
      <c r="G125" s="26" t="n">
        <f aca="false">J124</f>
        <v>0</v>
      </c>
      <c r="H125" s="26" t="n">
        <f aca="false">G125*$B$7</f>
        <v>0</v>
      </c>
      <c r="I125" s="26" t="n">
        <f aca="false">MIN(G125+H125,$B$3)</f>
        <v>0</v>
      </c>
      <c r="J125" s="26" t="n">
        <f aca="false">MAX(0,G125+H125-I125)</f>
        <v>0</v>
      </c>
    </row>
    <row r="126" customFormat="false" ht="15" hidden="false" customHeight="false" outlineLevel="0" collapsed="false">
      <c r="A126" s="12" t="n">
        <v>115</v>
      </c>
      <c r="B126" s="11" t="n">
        <f aca="false">E125</f>
        <v>0</v>
      </c>
      <c r="C126" s="11" t="n">
        <f aca="false">B126*$B$7</f>
        <v>0</v>
      </c>
      <c r="D126" s="11" t="n">
        <f aca="false">MIN(B126+C126,$B$5)</f>
        <v>0</v>
      </c>
      <c r="E126" s="11" t="n">
        <f aca="false">MAX(0,B126+C126-D126)</f>
        <v>0</v>
      </c>
      <c r="G126" s="11" t="n">
        <f aca="false">J125</f>
        <v>0</v>
      </c>
      <c r="H126" s="11" t="n">
        <f aca="false">G126*$B$7</f>
        <v>0</v>
      </c>
      <c r="I126" s="11" t="n">
        <f aca="false">MIN(G126+H126,$B$3)</f>
        <v>0</v>
      </c>
      <c r="J126" s="11" t="n">
        <f aca="false">MAX(0,G126+H126-I126)</f>
        <v>0</v>
      </c>
    </row>
    <row r="127" customFormat="false" ht="15" hidden="false" customHeight="false" outlineLevel="0" collapsed="false">
      <c r="A127" s="25" t="n">
        <v>116</v>
      </c>
      <c r="B127" s="26" t="n">
        <f aca="false">E126</f>
        <v>0</v>
      </c>
      <c r="C127" s="26" t="n">
        <f aca="false">B127*$B$7</f>
        <v>0</v>
      </c>
      <c r="D127" s="26" t="n">
        <f aca="false">MIN(B127+C127,$B$5)</f>
        <v>0</v>
      </c>
      <c r="E127" s="26" t="n">
        <f aca="false">MAX(0,B127+C127-D127)</f>
        <v>0</v>
      </c>
      <c r="G127" s="26" t="n">
        <f aca="false">J126</f>
        <v>0</v>
      </c>
      <c r="H127" s="26" t="n">
        <f aca="false">G127*$B$7</f>
        <v>0</v>
      </c>
      <c r="I127" s="26" t="n">
        <f aca="false">MIN(G127+H127,$B$3)</f>
        <v>0</v>
      </c>
      <c r="J127" s="26" t="n">
        <f aca="false">MAX(0,G127+H127-I127)</f>
        <v>0</v>
      </c>
    </row>
    <row r="128" customFormat="false" ht="15" hidden="false" customHeight="false" outlineLevel="0" collapsed="false">
      <c r="A128" s="12" t="n">
        <v>117</v>
      </c>
      <c r="B128" s="11" t="n">
        <f aca="false">E127</f>
        <v>0</v>
      </c>
      <c r="C128" s="11" t="n">
        <f aca="false">B128*$B$7</f>
        <v>0</v>
      </c>
      <c r="D128" s="11" t="n">
        <f aca="false">MIN(B128+C128,$B$5)</f>
        <v>0</v>
      </c>
      <c r="E128" s="11" t="n">
        <f aca="false">MAX(0,B128+C128-D128)</f>
        <v>0</v>
      </c>
      <c r="G128" s="11" t="n">
        <f aca="false">J127</f>
        <v>0</v>
      </c>
      <c r="H128" s="11" t="n">
        <f aca="false">G128*$B$7</f>
        <v>0</v>
      </c>
      <c r="I128" s="11" t="n">
        <f aca="false">MIN(G128+H128,$B$3)</f>
        <v>0</v>
      </c>
      <c r="J128" s="11" t="n">
        <f aca="false">MAX(0,G128+H128-I128)</f>
        <v>0</v>
      </c>
    </row>
    <row r="129" customFormat="false" ht="15" hidden="false" customHeight="false" outlineLevel="0" collapsed="false">
      <c r="A129" s="25" t="n">
        <v>118</v>
      </c>
      <c r="B129" s="26" t="n">
        <f aca="false">E128</f>
        <v>0</v>
      </c>
      <c r="C129" s="26" t="n">
        <f aca="false">B129*$B$7</f>
        <v>0</v>
      </c>
      <c r="D129" s="26" t="n">
        <f aca="false">MIN(B129+C129,$B$5)</f>
        <v>0</v>
      </c>
      <c r="E129" s="26" t="n">
        <f aca="false">MAX(0,B129+C129-D129)</f>
        <v>0</v>
      </c>
      <c r="G129" s="26" t="n">
        <f aca="false">J128</f>
        <v>0</v>
      </c>
      <c r="H129" s="26" t="n">
        <f aca="false">G129*$B$7</f>
        <v>0</v>
      </c>
      <c r="I129" s="26" t="n">
        <f aca="false">MIN(G129+H129,$B$3)</f>
        <v>0</v>
      </c>
      <c r="J129" s="26" t="n">
        <f aca="false">MAX(0,G129+H129-I129)</f>
        <v>0</v>
      </c>
    </row>
    <row r="130" customFormat="false" ht="15" hidden="false" customHeight="false" outlineLevel="0" collapsed="false">
      <c r="A130" s="12" t="n">
        <v>119</v>
      </c>
      <c r="B130" s="11" t="n">
        <f aca="false">E129</f>
        <v>0</v>
      </c>
      <c r="C130" s="11" t="n">
        <f aca="false">B130*$B$7</f>
        <v>0</v>
      </c>
      <c r="D130" s="11" t="n">
        <f aca="false">MIN(B130+C130,$B$5)</f>
        <v>0</v>
      </c>
      <c r="E130" s="11" t="n">
        <f aca="false">MAX(0,B130+C130-D130)</f>
        <v>0</v>
      </c>
      <c r="G130" s="11" t="n">
        <f aca="false">J129</f>
        <v>0</v>
      </c>
      <c r="H130" s="11" t="n">
        <f aca="false">G130*$B$7</f>
        <v>0</v>
      </c>
      <c r="I130" s="11" t="n">
        <f aca="false">MIN(G130+H130,$B$3)</f>
        <v>0</v>
      </c>
      <c r="J130" s="11" t="n">
        <f aca="false">MAX(0,G130+H130-I130)</f>
        <v>0</v>
      </c>
    </row>
    <row r="131" customFormat="false" ht="15" hidden="false" customHeight="false" outlineLevel="0" collapsed="false">
      <c r="A131" s="25" t="n">
        <v>120</v>
      </c>
      <c r="B131" s="26" t="n">
        <f aca="false">E130</f>
        <v>0</v>
      </c>
      <c r="C131" s="26" t="n">
        <f aca="false">B131*$B$7</f>
        <v>0</v>
      </c>
      <c r="D131" s="26" t="n">
        <f aca="false">MIN(B131+C131,$B$5)</f>
        <v>0</v>
      </c>
      <c r="E131" s="26" t="n">
        <f aca="false">MAX(0,B131+C131-D131)</f>
        <v>0</v>
      </c>
      <c r="G131" s="26" t="n">
        <f aca="false">J130</f>
        <v>0</v>
      </c>
      <c r="H131" s="26" t="n">
        <f aca="false">G131*$B$7</f>
        <v>0</v>
      </c>
      <c r="I131" s="26" t="n">
        <f aca="false">MIN(G131+H131,$B$3)</f>
        <v>0</v>
      </c>
      <c r="J131" s="26" t="n">
        <f aca="false">MAX(0,G131+H131-I131)</f>
        <v>0</v>
      </c>
    </row>
  </sheetData>
  <mergeCells count="4">
    <mergeCell ref="A1:J1"/>
    <mergeCell ref="C2:E2"/>
    <mergeCell ref="D4:J4"/>
    <mergeCell ref="G10:J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15E59"/>
    <pageSetUpPr fitToPage="false"/>
  </sheetPr>
  <dimension ref="A1:D3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4" min="2" style="0" width="16"/>
  </cols>
  <sheetData>
    <row r="1" customFormat="false" ht="33.75" hidden="false" customHeight="true" outlineLevel="0" collapsed="false">
      <c r="A1" s="1" t="s">
        <v>50</v>
      </c>
      <c r="B1" s="1"/>
      <c r="C1" s="1"/>
      <c r="D1" s="1"/>
    </row>
    <row r="3" customFormat="false" ht="15" hidden="false" customHeight="false" outlineLevel="0" collapsed="false">
      <c r="A3" s="7" t="s">
        <v>51</v>
      </c>
      <c r="B3" s="7" t="s">
        <v>52</v>
      </c>
      <c r="C3" s="7" t="s">
        <v>53</v>
      </c>
      <c r="D3" s="7" t="s">
        <v>54</v>
      </c>
    </row>
    <row r="4" customFormat="false" ht="15" hidden="false" customHeight="false" outlineLevel="0" collapsed="false">
      <c r="A4" s="27" t="s">
        <v>55</v>
      </c>
      <c r="B4" s="27"/>
      <c r="C4" s="27"/>
      <c r="D4" s="27"/>
    </row>
    <row r="5" customFormat="false" ht="15" hidden="false" customHeight="false" outlineLevel="0" collapsed="false">
      <c r="A5" s="28" t="s">
        <v>56</v>
      </c>
      <c r="B5" s="9" t="n">
        <v>18000</v>
      </c>
      <c r="C5" s="9"/>
      <c r="D5" s="11" t="str">
        <f aca="false">IF(C5="","",B5-C5)</f>
        <v/>
      </c>
    </row>
    <row r="6" customFormat="false" ht="15" hidden="false" customHeight="false" outlineLevel="0" collapsed="false">
      <c r="A6" s="28" t="s">
        <v>57</v>
      </c>
      <c r="B6" s="9"/>
      <c r="C6" s="9"/>
      <c r="D6" s="11" t="str">
        <f aca="false">IF(C6="","",B6-C6)</f>
        <v/>
      </c>
    </row>
    <row r="7" customFormat="false" ht="15" hidden="false" customHeight="false" outlineLevel="0" collapsed="false">
      <c r="A7" s="13" t="s">
        <v>58</v>
      </c>
      <c r="B7" s="14" t="n">
        <f aca="false">SUM(B5:B6)</f>
        <v>18000</v>
      </c>
      <c r="C7" s="14" t="n">
        <f aca="false">SUM(C5:C6)</f>
        <v>0</v>
      </c>
      <c r="D7" s="13"/>
    </row>
    <row r="9" customFormat="false" ht="15" hidden="false" customHeight="false" outlineLevel="0" collapsed="false">
      <c r="A9" s="27" t="s">
        <v>59</v>
      </c>
      <c r="B9" s="27"/>
      <c r="C9" s="27"/>
      <c r="D9" s="27"/>
    </row>
    <row r="10" customFormat="false" ht="15" hidden="false" customHeight="false" outlineLevel="0" collapsed="false">
      <c r="A10" s="28" t="s">
        <v>60</v>
      </c>
      <c r="B10" s="9" t="n">
        <v>4000</v>
      </c>
      <c r="C10" s="9"/>
      <c r="D10" s="11" t="str">
        <f aca="false">IF(C10="","",B10-C10)</f>
        <v/>
      </c>
    </row>
    <row r="11" customFormat="false" ht="15" hidden="false" customHeight="false" outlineLevel="0" collapsed="false">
      <c r="A11" s="28" t="s">
        <v>61</v>
      </c>
      <c r="B11" s="9" t="n">
        <v>800</v>
      </c>
      <c r="C11" s="9"/>
      <c r="D11" s="11" t="str">
        <f aca="false">IF(C11="","",B11-C11)</f>
        <v/>
      </c>
    </row>
    <row r="12" customFormat="false" ht="15" hidden="false" customHeight="false" outlineLevel="0" collapsed="false">
      <c r="A12" s="28" t="s">
        <v>62</v>
      </c>
      <c r="B12" s="9" t="n">
        <v>2000</v>
      </c>
      <c r="C12" s="9"/>
      <c r="D12" s="11" t="str">
        <f aca="false">IF(C12="","",B12-C12)</f>
        <v/>
      </c>
    </row>
    <row r="13" customFormat="false" ht="15" hidden="false" customHeight="false" outlineLevel="0" collapsed="false">
      <c r="A13" s="28" t="s">
        <v>63</v>
      </c>
      <c r="B13" s="9" t="n">
        <v>700</v>
      </c>
      <c r="C13" s="9"/>
      <c r="D13" s="11" t="str">
        <f aca="false">IF(C13="","",B13-C13)</f>
        <v/>
      </c>
    </row>
    <row r="14" customFormat="false" ht="15" hidden="false" customHeight="false" outlineLevel="0" collapsed="false">
      <c r="A14" s="28" t="s">
        <v>64</v>
      </c>
      <c r="B14" s="9" t="n">
        <v>200</v>
      </c>
      <c r="C14" s="9"/>
      <c r="D14" s="11" t="str">
        <f aca="false">IF(C14="","",B14-C14)</f>
        <v/>
      </c>
    </row>
    <row r="15" customFormat="false" ht="15" hidden="false" customHeight="false" outlineLevel="0" collapsed="false">
      <c r="A15" s="28" t="s">
        <v>65</v>
      </c>
      <c r="B15" s="9" t="n">
        <v>300</v>
      </c>
      <c r="C15" s="9"/>
      <c r="D15" s="11" t="str">
        <f aca="false">IF(C15="","",B15-C15)</f>
        <v/>
      </c>
    </row>
    <row r="16" customFormat="false" ht="15" hidden="false" customHeight="false" outlineLevel="0" collapsed="false">
      <c r="A16" s="13" t="s">
        <v>66</v>
      </c>
      <c r="B16" s="14" t="n">
        <f aca="false">SUM(B10:B15)</f>
        <v>8000</v>
      </c>
      <c r="C16" s="14" t="n">
        <f aca="false">SUM(C10:C15)</f>
        <v>0</v>
      </c>
      <c r="D16" s="13"/>
    </row>
    <row r="18" customFormat="false" ht="15" hidden="false" customHeight="false" outlineLevel="0" collapsed="false">
      <c r="A18" s="27" t="s">
        <v>67</v>
      </c>
      <c r="B18" s="27"/>
      <c r="C18" s="27"/>
      <c r="D18" s="27"/>
    </row>
    <row r="19" customFormat="false" ht="15" hidden="false" customHeight="false" outlineLevel="0" collapsed="false">
      <c r="A19" s="28" t="s">
        <v>68</v>
      </c>
      <c r="B19" s="9" t="n">
        <v>600</v>
      </c>
      <c r="C19" s="9"/>
      <c r="D19" s="11" t="str">
        <f aca="false">IF(C19="","",B19-C19)</f>
        <v/>
      </c>
    </row>
    <row r="20" customFormat="false" ht="15" hidden="false" customHeight="false" outlineLevel="0" collapsed="false">
      <c r="A20" s="28" t="s">
        <v>69</v>
      </c>
      <c r="B20" s="9" t="n">
        <v>300</v>
      </c>
      <c r="C20" s="9"/>
      <c r="D20" s="11" t="str">
        <f aca="false">IF(C20="","",B20-C20)</f>
        <v/>
      </c>
    </row>
    <row r="21" customFormat="false" ht="15" hidden="false" customHeight="false" outlineLevel="0" collapsed="false">
      <c r="A21" s="28" t="s">
        <v>70</v>
      </c>
      <c r="B21" s="9" t="n">
        <v>400</v>
      </c>
      <c r="C21" s="9"/>
      <c r="D21" s="11" t="str">
        <f aca="false">IF(C21="","",B21-C21)</f>
        <v/>
      </c>
    </row>
    <row r="22" customFormat="false" ht="15" hidden="false" customHeight="false" outlineLevel="0" collapsed="false">
      <c r="A22" s="28" t="s">
        <v>71</v>
      </c>
      <c r="B22" s="9" t="n">
        <v>100</v>
      </c>
      <c r="C22" s="9"/>
      <c r="D22" s="11" t="str">
        <f aca="false">IF(C22="","",B22-C22)</f>
        <v/>
      </c>
    </row>
    <row r="23" customFormat="false" ht="15" hidden="false" customHeight="false" outlineLevel="0" collapsed="false">
      <c r="A23" s="13" t="s">
        <v>72</v>
      </c>
      <c r="B23" s="14" t="n">
        <f aca="false">SUM(B19:B22)</f>
        <v>1400</v>
      </c>
      <c r="C23" s="14" t="n">
        <f aca="false">SUM(C19:C22)</f>
        <v>0</v>
      </c>
      <c r="D23" s="13"/>
    </row>
    <row r="25" customFormat="false" ht="15" hidden="false" customHeight="false" outlineLevel="0" collapsed="false">
      <c r="A25" s="27" t="s">
        <v>73</v>
      </c>
      <c r="B25" s="27"/>
      <c r="C25" s="27"/>
      <c r="D25" s="27"/>
    </row>
    <row r="26" customFormat="false" ht="15" hidden="false" customHeight="false" outlineLevel="0" collapsed="false">
      <c r="A26" s="28" t="s">
        <v>74</v>
      </c>
      <c r="B26" s="18" t="n">
        <f aca="false">'خطة السداد'!B3</f>
        <v>2700</v>
      </c>
      <c r="C26" s="9"/>
      <c r="D26" s="11" t="str">
        <f aca="false">IF(C26="","",B26-C26)</f>
        <v/>
      </c>
    </row>
    <row r="27" customFormat="false" ht="15" hidden="false" customHeight="false" outlineLevel="0" collapsed="false">
      <c r="A27" s="28" t="s">
        <v>75</v>
      </c>
      <c r="B27" s="18" t="n">
        <f aca="false">'خطة السداد'!B4</f>
        <v>1000</v>
      </c>
      <c r="C27" s="9"/>
      <c r="D27" s="11" t="str">
        <f aca="false">IF(C27="","",B27-C27)</f>
        <v/>
      </c>
    </row>
    <row r="28" customFormat="false" ht="15" hidden="false" customHeight="false" outlineLevel="0" collapsed="false">
      <c r="A28" s="28" t="s">
        <v>76</v>
      </c>
      <c r="B28" s="9" t="n">
        <v>500</v>
      </c>
      <c r="C28" s="9"/>
      <c r="D28" s="11" t="str">
        <f aca="false">IF(C28="","",B28-C28)</f>
        <v/>
      </c>
    </row>
    <row r="29" customFormat="false" ht="15" hidden="false" customHeight="false" outlineLevel="0" collapsed="false">
      <c r="A29" s="13" t="s">
        <v>77</v>
      </c>
      <c r="B29" s="14" t="n">
        <f aca="false">SUM(B26:B28)</f>
        <v>4200</v>
      </c>
      <c r="C29" s="14" t="n">
        <f aca="false">SUM(C26:C28)</f>
        <v>0</v>
      </c>
      <c r="D29" s="13"/>
    </row>
    <row r="31" customFormat="false" ht="15" hidden="false" customHeight="false" outlineLevel="0" collapsed="false">
      <c r="A31" s="29" t="s">
        <v>78</v>
      </c>
      <c r="B31" s="30" t="n">
        <f aca="false">B7-B16-B23-B29</f>
        <v>4400</v>
      </c>
      <c r="C31" s="30" t="str">
        <f aca="false">IF(C7=0,"",C7-C16-C23-C29)</f>
        <v/>
      </c>
      <c r="D31" s="29"/>
    </row>
    <row r="33" customFormat="false" ht="15" hidden="false" customHeight="false" outlineLevel="0" collapsed="false">
      <c r="A33" s="3" t="s">
        <v>79</v>
      </c>
      <c r="B33" s="31" t="n">
        <f aca="false">IFERROR(B16/B7,0)</f>
        <v>0.444444444444444</v>
      </c>
      <c r="C33" s="6" t="s">
        <v>80</v>
      </c>
    </row>
    <row r="34" customFormat="false" ht="22.35" hidden="false" customHeight="false" outlineLevel="0" collapsed="false">
      <c r="A34" s="3" t="s">
        <v>81</v>
      </c>
      <c r="B34" s="31" t="n">
        <f aca="false">IFERROR(B23/B7,0)</f>
        <v>0.0777777777777778</v>
      </c>
      <c r="C34" s="6" t="s">
        <v>82</v>
      </c>
    </row>
    <row r="35" customFormat="false" ht="22.35" hidden="false" customHeight="false" outlineLevel="0" collapsed="false">
      <c r="A35" s="3" t="s">
        <v>83</v>
      </c>
      <c r="B35" s="31" t="n">
        <f aca="false">IFERROR(B29/B7,0)</f>
        <v>0.233333333333333</v>
      </c>
      <c r="C35" s="6" t="s">
        <v>84</v>
      </c>
    </row>
    <row r="37" customFormat="false" ht="22.35" hidden="false" customHeight="false" outlineLevel="0" collapsed="false">
      <c r="A37" s="6" t="s">
        <v>85</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F3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5" min="2" style="0" width="18"/>
    <col collapsed="false" customWidth="true" hidden="false" outlineLevel="0" max="6" min="6" style="0" width="14"/>
  </cols>
  <sheetData>
    <row r="1" customFormat="false" ht="33.75" hidden="false" customHeight="true" outlineLevel="0" collapsed="false">
      <c r="A1" s="1" t="s">
        <v>86</v>
      </c>
      <c r="B1" s="1"/>
      <c r="C1" s="1"/>
      <c r="D1" s="1"/>
      <c r="E1" s="1"/>
      <c r="F1" s="1"/>
    </row>
    <row r="3" customFormat="false" ht="15" hidden="false" customHeight="true" outlineLevel="0" collapsed="false">
      <c r="A3" s="7" t="s">
        <v>35</v>
      </c>
      <c r="B3" s="7"/>
      <c r="C3" s="7" t="s">
        <v>39</v>
      </c>
      <c r="D3" s="7"/>
      <c r="E3" s="7" t="s">
        <v>41</v>
      </c>
      <c r="F3" s="7"/>
    </row>
    <row r="4" customFormat="false" ht="25.5" hidden="false" customHeight="true" outlineLevel="0" collapsed="false">
      <c r="A4" s="32" t="n">
        <f aca="false">الديون!B15</f>
        <v>115000</v>
      </c>
      <c r="B4" s="32"/>
      <c r="C4" s="32" t="n">
        <f aca="false">'خطة السداد'!B5</f>
        <v>3700</v>
      </c>
      <c r="D4" s="32"/>
      <c r="E4" s="33" t="n">
        <f aca="false">'خطة السداد'!B8</f>
        <v>35</v>
      </c>
      <c r="F4" s="33"/>
    </row>
    <row r="6" customFormat="false" ht="15" hidden="false" customHeight="true" outlineLevel="0" collapsed="false">
      <c r="A6" s="7" t="s">
        <v>42</v>
      </c>
      <c r="B6" s="7"/>
      <c r="C6" s="7" t="s">
        <v>43</v>
      </c>
      <c r="D6" s="7"/>
      <c r="E6" s="7" t="s">
        <v>87</v>
      </c>
      <c r="F6" s="7"/>
    </row>
    <row r="7" customFormat="false" ht="25.5" hidden="false" customHeight="true" outlineLevel="0" collapsed="false">
      <c r="A7" s="34" t="n">
        <f aca="false">'خطة السداد'!B9</f>
        <v>47287</v>
      </c>
      <c r="B7" s="34"/>
      <c r="C7" s="32" t="n">
        <f aca="false">'خطة السداد'!B10</f>
        <v>12870.4808128838</v>
      </c>
      <c r="D7" s="32"/>
      <c r="E7" s="32" t="n">
        <f aca="false">MAX(0,SUM('خطة السداد'!H12:H131)-SUM('خطة السداد'!C12:C131))</f>
        <v>5654.10347406015</v>
      </c>
      <c r="F7" s="32"/>
    </row>
    <row r="10" customFormat="false" ht="26.85" hidden="false" customHeight="false" outlineLevel="0" collapsed="false">
      <c r="A10" s="35" t="s">
        <v>88</v>
      </c>
    </row>
    <row r="11" customFormat="false" ht="15" hidden="false" customHeight="false" outlineLevel="0" collapsed="false">
      <c r="A11" s="7" t="s">
        <v>89</v>
      </c>
      <c r="B11" s="7" t="s">
        <v>90</v>
      </c>
      <c r="C11" s="7" t="s">
        <v>91</v>
      </c>
      <c r="D11" s="7" t="s">
        <v>92</v>
      </c>
      <c r="E11" s="7" t="s">
        <v>93</v>
      </c>
    </row>
    <row r="12" customFormat="false" ht="15" hidden="false" customHeight="false" outlineLevel="0" collapsed="false">
      <c r="A12" s="36"/>
      <c r="B12" s="9"/>
      <c r="C12" s="11" t="str">
        <f aca="false">IF(B12="","",SUM($B$12:B12))</f>
        <v/>
      </c>
      <c r="D12" s="11" t="str">
        <f aca="false">IF(B12="","",MAX(0,الديون!$B$15-C12))</f>
        <v/>
      </c>
      <c r="E12" s="37" t="str">
        <f aca="false">IF(B12="","",MIN(1,C12/الديون!$B$15))</f>
        <v/>
      </c>
    </row>
    <row r="13" customFormat="false" ht="15" hidden="false" customHeight="false" outlineLevel="0" collapsed="false">
      <c r="A13" s="36"/>
      <c r="B13" s="9"/>
      <c r="C13" s="26" t="str">
        <f aca="false">IF(B13="","",SUM($B$12:B13))</f>
        <v/>
      </c>
      <c r="D13" s="26" t="str">
        <f aca="false">IF(B13="","",MAX(0,الديون!$B$15-C13))</f>
        <v/>
      </c>
      <c r="E13" s="38" t="str">
        <f aca="false">IF(B13="","",MIN(1,C13/الديون!$B$15))</f>
        <v/>
      </c>
    </row>
    <row r="14" customFormat="false" ht="15" hidden="false" customHeight="false" outlineLevel="0" collapsed="false">
      <c r="A14" s="36"/>
      <c r="B14" s="9"/>
      <c r="C14" s="11" t="str">
        <f aca="false">IF(B14="","",SUM($B$12:B14))</f>
        <v/>
      </c>
      <c r="D14" s="11" t="str">
        <f aca="false">IF(B14="","",MAX(0,الديون!$B$15-C14))</f>
        <v/>
      </c>
      <c r="E14" s="37" t="str">
        <f aca="false">IF(B14="","",MIN(1,C14/الديون!$B$15))</f>
        <v/>
      </c>
    </row>
    <row r="15" customFormat="false" ht="15" hidden="false" customHeight="false" outlineLevel="0" collapsed="false">
      <c r="A15" s="36"/>
      <c r="B15" s="9"/>
      <c r="C15" s="26" t="str">
        <f aca="false">IF(B15="","",SUM($B$12:B15))</f>
        <v/>
      </c>
      <c r="D15" s="26" t="str">
        <f aca="false">IF(B15="","",MAX(0,الديون!$B$15-C15))</f>
        <v/>
      </c>
      <c r="E15" s="38" t="str">
        <f aca="false">IF(B15="","",MIN(1,C15/الديون!$B$15))</f>
        <v/>
      </c>
    </row>
    <row r="16" customFormat="false" ht="15" hidden="false" customHeight="false" outlineLevel="0" collapsed="false">
      <c r="A16" s="36"/>
      <c r="B16" s="9"/>
      <c r="C16" s="11" t="str">
        <f aca="false">IF(B16="","",SUM($B$12:B16))</f>
        <v/>
      </c>
      <c r="D16" s="11" t="str">
        <f aca="false">IF(B16="","",MAX(0,الديون!$B$15-C16))</f>
        <v/>
      </c>
      <c r="E16" s="37" t="str">
        <f aca="false">IF(B16="","",MIN(1,C16/الديون!$B$15))</f>
        <v/>
      </c>
    </row>
    <row r="17" customFormat="false" ht="15" hidden="false" customHeight="false" outlineLevel="0" collapsed="false">
      <c r="A17" s="36"/>
      <c r="B17" s="9"/>
      <c r="C17" s="26" t="str">
        <f aca="false">IF(B17="","",SUM($B$12:B17))</f>
        <v/>
      </c>
      <c r="D17" s="26" t="str">
        <f aca="false">IF(B17="","",MAX(0,الديون!$B$15-C17))</f>
        <v/>
      </c>
      <c r="E17" s="38" t="str">
        <f aca="false">IF(B17="","",MIN(1,C17/الديون!$B$15))</f>
        <v/>
      </c>
    </row>
    <row r="18" customFormat="false" ht="15" hidden="false" customHeight="false" outlineLevel="0" collapsed="false">
      <c r="A18" s="36"/>
      <c r="B18" s="9"/>
      <c r="C18" s="11" t="str">
        <f aca="false">IF(B18="","",SUM($B$12:B18))</f>
        <v/>
      </c>
      <c r="D18" s="11" t="str">
        <f aca="false">IF(B18="","",MAX(0,الديون!$B$15-C18))</f>
        <v/>
      </c>
      <c r="E18" s="37" t="str">
        <f aca="false">IF(B18="","",MIN(1,C18/الديون!$B$15))</f>
        <v/>
      </c>
    </row>
    <row r="19" customFormat="false" ht="15" hidden="false" customHeight="false" outlineLevel="0" collapsed="false">
      <c r="A19" s="36"/>
      <c r="B19" s="9"/>
      <c r="C19" s="26" t="str">
        <f aca="false">IF(B19="","",SUM($B$12:B19))</f>
        <v/>
      </c>
      <c r="D19" s="26" t="str">
        <f aca="false">IF(B19="","",MAX(0,الديون!$B$15-C19))</f>
        <v/>
      </c>
      <c r="E19" s="38" t="str">
        <f aca="false">IF(B19="","",MIN(1,C19/الديون!$B$15))</f>
        <v/>
      </c>
    </row>
    <row r="20" customFormat="false" ht="15" hidden="false" customHeight="false" outlineLevel="0" collapsed="false">
      <c r="A20" s="36"/>
      <c r="B20" s="9"/>
      <c r="C20" s="11" t="str">
        <f aca="false">IF(B20="","",SUM($B$12:B20))</f>
        <v/>
      </c>
      <c r="D20" s="11" t="str">
        <f aca="false">IF(B20="","",MAX(0,الديون!$B$15-C20))</f>
        <v/>
      </c>
      <c r="E20" s="37" t="str">
        <f aca="false">IF(B20="","",MIN(1,C20/الديون!$B$15))</f>
        <v/>
      </c>
    </row>
    <row r="21" customFormat="false" ht="15" hidden="false" customHeight="false" outlineLevel="0" collapsed="false">
      <c r="A21" s="36"/>
      <c r="B21" s="9"/>
      <c r="C21" s="26" t="str">
        <f aca="false">IF(B21="","",SUM($B$12:B21))</f>
        <v/>
      </c>
      <c r="D21" s="26" t="str">
        <f aca="false">IF(B21="","",MAX(0,الديون!$B$15-C21))</f>
        <v/>
      </c>
      <c r="E21" s="38" t="str">
        <f aca="false">IF(B21="","",MIN(1,C21/الديون!$B$15))</f>
        <v/>
      </c>
    </row>
    <row r="22" customFormat="false" ht="15" hidden="false" customHeight="false" outlineLevel="0" collapsed="false">
      <c r="A22" s="36"/>
      <c r="B22" s="9"/>
      <c r="C22" s="11" t="str">
        <f aca="false">IF(B22="","",SUM($B$12:B22))</f>
        <v/>
      </c>
      <c r="D22" s="11" t="str">
        <f aca="false">IF(B22="","",MAX(0,الديون!$B$15-C22))</f>
        <v/>
      </c>
      <c r="E22" s="37" t="str">
        <f aca="false">IF(B22="","",MIN(1,C22/الديون!$B$15))</f>
        <v/>
      </c>
    </row>
    <row r="23" customFormat="false" ht="15" hidden="false" customHeight="false" outlineLevel="0" collapsed="false">
      <c r="A23" s="36"/>
      <c r="B23" s="9"/>
      <c r="C23" s="26" t="str">
        <f aca="false">IF(B23="","",SUM($B$12:B23))</f>
        <v/>
      </c>
      <c r="D23" s="26" t="str">
        <f aca="false">IF(B23="","",MAX(0,الديون!$B$15-C23))</f>
        <v/>
      </c>
      <c r="E23" s="38" t="str">
        <f aca="false">IF(B23="","",MIN(1,C23/الديون!$B$15))</f>
        <v/>
      </c>
    </row>
    <row r="24" customFormat="false" ht="15" hidden="false" customHeight="false" outlineLevel="0" collapsed="false">
      <c r="A24" s="36"/>
      <c r="B24" s="9"/>
      <c r="C24" s="11" t="str">
        <f aca="false">IF(B24="","",SUM($B$12:B24))</f>
        <v/>
      </c>
      <c r="D24" s="11" t="str">
        <f aca="false">IF(B24="","",MAX(0,الديون!$B$15-C24))</f>
        <v/>
      </c>
      <c r="E24" s="37" t="str">
        <f aca="false">IF(B24="","",MIN(1,C24/الديون!$B$15))</f>
        <v/>
      </c>
    </row>
    <row r="25" customFormat="false" ht="15" hidden="false" customHeight="false" outlineLevel="0" collapsed="false">
      <c r="A25" s="36"/>
      <c r="B25" s="9"/>
      <c r="C25" s="26" t="str">
        <f aca="false">IF(B25="","",SUM($B$12:B25))</f>
        <v/>
      </c>
      <c r="D25" s="26" t="str">
        <f aca="false">IF(B25="","",MAX(0,الديون!$B$15-C25))</f>
        <v/>
      </c>
      <c r="E25" s="38" t="str">
        <f aca="false">IF(B25="","",MIN(1,C25/الديون!$B$15))</f>
        <v/>
      </c>
    </row>
    <row r="26" customFormat="false" ht="15" hidden="false" customHeight="false" outlineLevel="0" collapsed="false">
      <c r="A26" s="36"/>
      <c r="B26" s="9"/>
      <c r="C26" s="11" t="str">
        <f aca="false">IF(B26="","",SUM($B$12:B26))</f>
        <v/>
      </c>
      <c r="D26" s="11" t="str">
        <f aca="false">IF(B26="","",MAX(0,الديون!$B$15-C26))</f>
        <v/>
      </c>
      <c r="E26" s="37" t="str">
        <f aca="false">IF(B26="","",MIN(1,C26/الديون!$B$15))</f>
        <v/>
      </c>
    </row>
    <row r="27" customFormat="false" ht="15" hidden="false" customHeight="false" outlineLevel="0" collapsed="false">
      <c r="A27" s="36"/>
      <c r="B27" s="9"/>
      <c r="C27" s="26" t="str">
        <f aca="false">IF(B27="","",SUM($B$12:B27))</f>
        <v/>
      </c>
      <c r="D27" s="26" t="str">
        <f aca="false">IF(B27="","",MAX(0,الديون!$B$15-C27))</f>
        <v/>
      </c>
      <c r="E27" s="38" t="str">
        <f aca="false">IF(B27="","",MIN(1,C27/الديون!$B$15))</f>
        <v/>
      </c>
    </row>
    <row r="28" customFormat="false" ht="15" hidden="false" customHeight="false" outlineLevel="0" collapsed="false">
      <c r="A28" s="36"/>
      <c r="B28" s="9"/>
      <c r="C28" s="11" t="str">
        <f aca="false">IF(B28="","",SUM($B$12:B28))</f>
        <v/>
      </c>
      <c r="D28" s="11" t="str">
        <f aca="false">IF(B28="","",MAX(0,الديون!$B$15-C28))</f>
        <v/>
      </c>
      <c r="E28" s="37" t="str">
        <f aca="false">IF(B28="","",MIN(1,C28/الديون!$B$15))</f>
        <v/>
      </c>
    </row>
    <row r="29" customFormat="false" ht="15" hidden="false" customHeight="false" outlineLevel="0" collapsed="false">
      <c r="A29" s="36"/>
      <c r="B29" s="9"/>
      <c r="C29" s="26" t="str">
        <f aca="false">IF(B29="","",SUM($B$12:B29))</f>
        <v/>
      </c>
      <c r="D29" s="26" t="str">
        <f aca="false">IF(B29="","",MAX(0,الديون!$B$15-C29))</f>
        <v/>
      </c>
      <c r="E29" s="38" t="str">
        <f aca="false">IF(B29="","",MIN(1,C29/الديون!$B$15))</f>
        <v/>
      </c>
    </row>
    <row r="30" customFormat="false" ht="15" hidden="false" customHeight="false" outlineLevel="0" collapsed="false">
      <c r="A30" s="36"/>
      <c r="B30" s="9"/>
      <c r="C30" s="11" t="str">
        <f aca="false">IF(B30="","",SUM($B$12:B30))</f>
        <v/>
      </c>
      <c r="D30" s="11" t="str">
        <f aca="false">IF(B30="","",MAX(0,الديون!$B$15-C30))</f>
        <v/>
      </c>
      <c r="E30" s="37" t="str">
        <f aca="false">IF(B30="","",MIN(1,C30/الديون!$B$15))</f>
        <v/>
      </c>
    </row>
    <row r="31" customFormat="false" ht="15" hidden="false" customHeight="false" outlineLevel="0" collapsed="false">
      <c r="A31" s="36"/>
      <c r="B31" s="9"/>
      <c r="C31" s="26" t="str">
        <f aca="false">IF(B31="","",SUM($B$12:B31))</f>
        <v/>
      </c>
      <c r="D31" s="26" t="str">
        <f aca="false">IF(B31="","",MAX(0,الديون!$B$15-C31))</f>
        <v/>
      </c>
      <c r="E31" s="38" t="str">
        <f aca="false">IF(B31="","",MIN(1,C31/الديون!$B$15))</f>
        <v/>
      </c>
    </row>
    <row r="32" customFormat="false" ht="15" hidden="false" customHeight="false" outlineLevel="0" collapsed="false">
      <c r="A32" s="36"/>
      <c r="B32" s="9"/>
      <c r="C32" s="11" t="str">
        <f aca="false">IF(B32="","",SUM($B$12:B32))</f>
        <v/>
      </c>
      <c r="D32" s="11" t="str">
        <f aca="false">IF(B32="","",MAX(0,الديون!$B$15-C32))</f>
        <v/>
      </c>
      <c r="E32" s="37" t="str">
        <f aca="false">IF(B32="","",MIN(1,C32/الديون!$B$15))</f>
        <v/>
      </c>
    </row>
    <row r="33" customFormat="false" ht="15" hidden="false" customHeight="false" outlineLevel="0" collapsed="false">
      <c r="A33" s="36"/>
      <c r="B33" s="9"/>
      <c r="C33" s="26" t="str">
        <f aca="false">IF(B33="","",SUM($B$12:B33))</f>
        <v/>
      </c>
      <c r="D33" s="26" t="str">
        <f aca="false">IF(B33="","",MAX(0,الديون!$B$15-C33))</f>
        <v/>
      </c>
      <c r="E33" s="38" t="str">
        <f aca="false">IF(B33="","",MIN(1,C33/الديون!$B$15))</f>
        <v/>
      </c>
    </row>
    <row r="34" customFormat="false" ht="15" hidden="false" customHeight="false" outlineLevel="0" collapsed="false">
      <c r="A34" s="36"/>
      <c r="B34" s="9"/>
      <c r="C34" s="11" t="str">
        <f aca="false">IF(B34="","",SUM($B$12:B34))</f>
        <v/>
      </c>
      <c r="D34" s="11" t="str">
        <f aca="false">IF(B34="","",MAX(0,الديون!$B$15-C34))</f>
        <v/>
      </c>
      <c r="E34" s="37" t="str">
        <f aca="false">IF(B34="","",MIN(1,C34/الديون!$B$15))</f>
        <v/>
      </c>
    </row>
    <row r="35" customFormat="false" ht="15" hidden="false" customHeight="false" outlineLevel="0" collapsed="false">
      <c r="A35" s="36"/>
      <c r="B35" s="9"/>
      <c r="C35" s="26" t="str">
        <f aca="false">IF(B35="","",SUM($B$12:B35))</f>
        <v/>
      </c>
      <c r="D35" s="26" t="str">
        <f aca="false">IF(B35="","",MAX(0,الديون!$B$15-C35))</f>
        <v/>
      </c>
      <c r="E35" s="38" t="str">
        <f aca="false">IF(B35="","",MIN(1,C35/الديون!$B$15))</f>
        <v/>
      </c>
    </row>
    <row r="37" customFormat="false" ht="32.8" hidden="false" customHeight="false" outlineLevel="0" collapsed="false">
      <c r="A37" s="6" t="s">
        <v>94</v>
      </c>
    </row>
  </sheetData>
  <mergeCells count="13">
    <mergeCell ref="A1:F1"/>
    <mergeCell ref="A3:B3"/>
    <mergeCell ref="C3:D3"/>
    <mergeCell ref="E3:F3"/>
    <mergeCell ref="A4:B4"/>
    <mergeCell ref="C4:D4"/>
    <mergeCell ref="E4:F4"/>
    <mergeCell ref="A6:B6"/>
    <mergeCell ref="C6:D6"/>
    <mergeCell ref="E6:F6"/>
    <mergeCell ref="A7:B7"/>
    <mergeCell ref="C7:D7"/>
    <mergeCell ref="E7:F7"/>
  </mergeCells>
  <conditionalFormatting sqref="E12:E35">
    <cfRule type="dataBar" priority="2">
      <dataBar showValue="1" minLength="10" maxLength="90">
        <cfvo type="num" val="0"/>
        <cfvo type="num" val="1"/>
        <color rgb="FF0F766E"/>
      </dataBar>
      <extLst>
        <ext xmlns:x14="http://schemas.microsoft.com/office/spreadsheetml/2009/9/main" uri="{B025F937-C7B1-47D3-B67F-A62EFF666E3E}">
          <x14:id>{721C86E5-CBFB-4565-87D6-EEE087629B72}</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721C86E5-CBFB-4565-87D6-EEE087629B72}">
            <x14:dataBar minLength="10" maxLength="90" axisPosition="none" gradient="true">
              <x14:cfvo type="num">
                <xm:f>0</xm:f>
              </x14:cfvo>
              <x14:cfvo type="num">
                <xm:f>1</xm:f>
              </x14:cfvo>
              <x14:negativeFillColor rgb="FF0F766E"/>
              <x14:axisColor rgb="FF000000"/>
            </x14:dataBar>
          </x14:cfRule>
          <xm:sqref>E12:E35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2026-07-18T03:18:38Z</dcterms:created>
  <dc:creator>openpyxl</dc:creator>
  <dc:description/>
  <dc:language>en-US</dc:language>
  <cp:lastModifiedBy/>
  <dcterms:modified xsi:type="dcterms:W3CDTF">2026-07-18T03:18:38Z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